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pivotTables/pivotTable1.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mc:AlternateContent xmlns:mc="http://schemas.openxmlformats.org/markup-compatibility/2006">
    <mc:Choice Requires="x15">
      <x15ac:absPath xmlns:x15ac="http://schemas.microsoft.com/office/spreadsheetml/2010/11/ac" url="C:\MyProgram\base\base_invoice\"/>
    </mc:Choice>
  </mc:AlternateContent>
  <bookViews>
    <workbookView xWindow="0" yWindow="0" windowWidth="23040" windowHeight="8826" tabRatio="500" activeTab="3"/>
  </bookViews>
  <sheets>
    <sheet name="CSV" sheetId="1" r:id="rId1"/>
    <sheet name="pivot" sheetId="4" r:id="rId2"/>
    <sheet name="items" sheetId="6" r:id="rId3"/>
    <sheet name="output" sheetId="5" r:id="rId4"/>
  </sheets>
  <definedNames>
    <definedName name="fshin2000_20160603__1__1" localSheetId="0">CSV!$A$1:$AA$101</definedName>
    <definedName name="_xlnm.Print_Area" localSheetId="3">output!$A$1:$H$25</definedName>
  </definedNames>
  <calcPr calcId="171027"/>
  <pivotCaches>
    <pivotCache cacheId="0" r:id="rId5"/>
  </pivotCaches>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G21" i="5" l="1"/>
  <c r="A53" i="6" l="1"/>
  <c r="B53" i="6"/>
  <c r="D53" i="6"/>
  <c r="E53" i="6"/>
  <c r="F53" i="6"/>
  <c r="G53" i="6"/>
  <c r="H53" i="6"/>
  <c r="A54" i="6"/>
  <c r="B54" i="6"/>
  <c r="D54" i="6"/>
  <c r="E54" i="6"/>
  <c r="F54" i="6"/>
  <c r="G54" i="6"/>
  <c r="H54" i="6"/>
  <c r="A55" i="6"/>
  <c r="B55" i="6"/>
  <c r="D55" i="6"/>
  <c r="E55" i="6"/>
  <c r="F55" i="6"/>
  <c r="G55" i="6"/>
  <c r="H55" i="6"/>
  <c r="A56" i="6"/>
  <c r="B56" i="6"/>
  <c r="D56" i="6"/>
  <c r="E56" i="6"/>
  <c r="F56" i="6"/>
  <c r="G56" i="6"/>
  <c r="H56" i="6"/>
  <c r="A57" i="6"/>
  <c r="B57" i="6"/>
  <c r="D57" i="6"/>
  <c r="E57" i="6"/>
  <c r="F57" i="6"/>
  <c r="G57" i="6"/>
  <c r="H57" i="6"/>
  <c r="A58" i="6"/>
  <c r="B58" i="6"/>
  <c r="D58" i="6"/>
  <c r="E58" i="6"/>
  <c r="F58" i="6"/>
  <c r="G58" i="6"/>
  <c r="H58" i="6"/>
  <c r="A59" i="6"/>
  <c r="B59" i="6"/>
  <c r="D59" i="6"/>
  <c r="E59" i="6"/>
  <c r="F59" i="6"/>
  <c r="G59" i="6"/>
  <c r="H59" i="6"/>
  <c r="A60" i="6"/>
  <c r="B60" i="6"/>
  <c r="D60" i="6"/>
  <c r="E60" i="6"/>
  <c r="F60" i="6"/>
  <c r="G60" i="6"/>
  <c r="H60" i="6"/>
  <c r="A61" i="6"/>
  <c r="B61" i="6"/>
  <c r="D61" i="6"/>
  <c r="E61" i="6"/>
  <c r="F61" i="6"/>
  <c r="G61" i="6"/>
  <c r="H61" i="6"/>
  <c r="A62" i="6"/>
  <c r="B62" i="6"/>
  <c r="D62" i="6"/>
  <c r="E62" i="6"/>
  <c r="F62" i="6"/>
  <c r="G62" i="6"/>
  <c r="H62" i="6"/>
  <c r="A63" i="6"/>
  <c r="B63" i="6"/>
  <c r="D63" i="6"/>
  <c r="E63" i="6"/>
  <c r="F63" i="6"/>
  <c r="G63" i="6"/>
  <c r="H63" i="6"/>
  <c r="A64" i="6"/>
  <c r="B64" i="6"/>
  <c r="D64" i="6"/>
  <c r="E64" i="6"/>
  <c r="F64" i="6"/>
  <c r="G64" i="6"/>
  <c r="H64" i="6"/>
  <c r="A65" i="6"/>
  <c r="B65" i="6"/>
  <c r="D65" i="6"/>
  <c r="E65" i="6"/>
  <c r="F65" i="6"/>
  <c r="G65" i="6"/>
  <c r="H65" i="6"/>
  <c r="A66" i="6"/>
  <c r="B66" i="6"/>
  <c r="D66" i="6"/>
  <c r="E66" i="6"/>
  <c r="F66" i="6"/>
  <c r="G66" i="6"/>
  <c r="H66" i="6"/>
  <c r="A67" i="6"/>
  <c r="B67" i="6"/>
  <c r="D67" i="6"/>
  <c r="E67" i="6"/>
  <c r="F67" i="6"/>
  <c r="G67" i="6"/>
  <c r="H67" i="6"/>
  <c r="A68" i="6"/>
  <c r="B68" i="6"/>
  <c r="D68" i="6"/>
  <c r="E68" i="6"/>
  <c r="F68" i="6"/>
  <c r="G68" i="6"/>
  <c r="H68" i="6"/>
  <c r="A69" i="6"/>
  <c r="B69" i="6"/>
  <c r="D69" i="6"/>
  <c r="E69" i="6"/>
  <c r="F69" i="6"/>
  <c r="G69" i="6"/>
  <c r="H69" i="6"/>
  <c r="A70" i="6"/>
  <c r="B70" i="6"/>
  <c r="D70" i="6"/>
  <c r="E70" i="6"/>
  <c r="F70" i="6"/>
  <c r="G70" i="6"/>
  <c r="H70" i="6"/>
  <c r="A71" i="6"/>
  <c r="B71" i="6"/>
  <c r="D71" i="6"/>
  <c r="E71" i="6"/>
  <c r="F71" i="6"/>
  <c r="G71" i="6"/>
  <c r="H71" i="6"/>
  <c r="A72" i="6"/>
  <c r="B72" i="6"/>
  <c r="D72" i="6"/>
  <c r="E72" i="6"/>
  <c r="F72" i="6"/>
  <c r="G72" i="6"/>
  <c r="H72" i="6"/>
  <c r="A73" i="6"/>
  <c r="B73" i="6"/>
  <c r="D73" i="6"/>
  <c r="E73" i="6"/>
  <c r="F73" i="6"/>
  <c r="G73" i="6"/>
  <c r="H73" i="6"/>
  <c r="A74" i="6"/>
  <c r="B74" i="6"/>
  <c r="D74" i="6"/>
  <c r="E74" i="6"/>
  <c r="F74" i="6"/>
  <c r="G74" i="6"/>
  <c r="H74" i="6"/>
  <c r="A75" i="6"/>
  <c r="B75" i="6"/>
  <c r="D75" i="6"/>
  <c r="E75" i="6"/>
  <c r="F75" i="6"/>
  <c r="G75" i="6"/>
  <c r="H75" i="6"/>
  <c r="A76" i="6"/>
  <c r="B76" i="6"/>
  <c r="D76" i="6"/>
  <c r="E76" i="6"/>
  <c r="F76" i="6"/>
  <c r="G76" i="6"/>
  <c r="H76" i="6"/>
  <c r="A77" i="6"/>
  <c r="B77" i="6"/>
  <c r="D77" i="6"/>
  <c r="E77" i="6"/>
  <c r="F77" i="6"/>
  <c r="G77" i="6"/>
  <c r="H77" i="6"/>
  <c r="A78" i="6"/>
  <c r="B78" i="6"/>
  <c r="D78" i="6"/>
  <c r="E78" i="6"/>
  <c r="F78" i="6"/>
  <c r="G78" i="6"/>
  <c r="H78" i="6"/>
  <c r="A79" i="6"/>
  <c r="B79" i="6"/>
  <c r="D79" i="6"/>
  <c r="E79" i="6"/>
  <c r="F79" i="6"/>
  <c r="G79" i="6"/>
  <c r="H79" i="6"/>
  <c r="A80" i="6"/>
  <c r="B80" i="6"/>
  <c r="D80" i="6"/>
  <c r="E80" i="6"/>
  <c r="F80" i="6"/>
  <c r="G80" i="6"/>
  <c r="H80" i="6"/>
  <c r="A81" i="6"/>
  <c r="B81" i="6"/>
  <c r="D81" i="6"/>
  <c r="E81" i="6"/>
  <c r="F81" i="6"/>
  <c r="G81" i="6"/>
  <c r="H81" i="6"/>
  <c r="A82" i="6"/>
  <c r="B82" i="6"/>
  <c r="D82" i="6"/>
  <c r="E82" i="6"/>
  <c r="F82" i="6"/>
  <c r="G82" i="6"/>
  <c r="H82" i="6"/>
  <c r="A83" i="6"/>
  <c r="B83" i="6"/>
  <c r="D83" i="6"/>
  <c r="E83" i="6"/>
  <c r="F83" i="6"/>
  <c r="G83" i="6"/>
  <c r="H83" i="6"/>
  <c r="A84" i="6"/>
  <c r="B84" i="6"/>
  <c r="D84" i="6"/>
  <c r="E84" i="6"/>
  <c r="F84" i="6"/>
  <c r="G84" i="6"/>
  <c r="H84" i="6"/>
  <c r="A85" i="6"/>
  <c r="B85" i="6"/>
  <c r="D85" i="6"/>
  <c r="E85" i="6"/>
  <c r="F85" i="6"/>
  <c r="G85" i="6"/>
  <c r="H85" i="6"/>
  <c r="A86" i="6"/>
  <c r="B86" i="6"/>
  <c r="D86" i="6"/>
  <c r="E86" i="6"/>
  <c r="F86" i="6"/>
  <c r="G86" i="6"/>
  <c r="H86" i="6"/>
  <c r="A87" i="6"/>
  <c r="B87" i="6"/>
  <c r="D87" i="6"/>
  <c r="E87" i="6"/>
  <c r="F87" i="6"/>
  <c r="G87" i="6"/>
  <c r="H87" i="6"/>
  <c r="A88" i="6"/>
  <c r="B88" i="6"/>
  <c r="D88" i="6"/>
  <c r="E88" i="6"/>
  <c r="F88" i="6"/>
  <c r="G88" i="6"/>
  <c r="H88" i="6"/>
  <c r="A89" i="6"/>
  <c r="B89" i="6"/>
  <c r="D89" i="6"/>
  <c r="E89" i="6"/>
  <c r="F89" i="6"/>
  <c r="G89" i="6"/>
  <c r="H89" i="6"/>
  <c r="A90" i="6"/>
  <c r="B90" i="6"/>
  <c r="D90" i="6"/>
  <c r="E90" i="6"/>
  <c r="F90" i="6"/>
  <c r="G90" i="6"/>
  <c r="H90" i="6"/>
  <c r="A91" i="6"/>
  <c r="B91" i="6"/>
  <c r="D91" i="6"/>
  <c r="E91" i="6"/>
  <c r="F91" i="6"/>
  <c r="G91" i="6"/>
  <c r="H91" i="6"/>
  <c r="A92" i="6"/>
  <c r="B92" i="6"/>
  <c r="D92" i="6"/>
  <c r="E92" i="6"/>
  <c r="F92" i="6"/>
  <c r="G92" i="6"/>
  <c r="H92" i="6"/>
  <c r="A93" i="6"/>
  <c r="B93" i="6"/>
  <c r="D93" i="6"/>
  <c r="E93" i="6"/>
  <c r="F93" i="6"/>
  <c r="G93" i="6"/>
  <c r="H93" i="6"/>
  <c r="A94" i="6"/>
  <c r="B94" i="6"/>
  <c r="D94" i="6"/>
  <c r="E94" i="6"/>
  <c r="F94" i="6"/>
  <c r="G94" i="6"/>
  <c r="H94" i="6"/>
  <c r="A95" i="6"/>
  <c r="B95" i="6"/>
  <c r="D95" i="6"/>
  <c r="E95" i="6"/>
  <c r="F95" i="6"/>
  <c r="G95" i="6"/>
  <c r="H95" i="6"/>
  <c r="A96" i="6"/>
  <c r="B96" i="6"/>
  <c r="D96" i="6"/>
  <c r="E96" i="6"/>
  <c r="F96" i="6"/>
  <c r="G96" i="6"/>
  <c r="H96" i="6"/>
  <c r="A97" i="6"/>
  <c r="B97" i="6"/>
  <c r="D97" i="6"/>
  <c r="E97" i="6"/>
  <c r="F97" i="6"/>
  <c r="G97" i="6"/>
  <c r="H97" i="6"/>
  <c r="A98" i="6"/>
  <c r="B98" i="6"/>
  <c r="D98" i="6"/>
  <c r="E98" i="6"/>
  <c r="F98" i="6"/>
  <c r="G98" i="6"/>
  <c r="H98" i="6"/>
  <c r="A99" i="6"/>
  <c r="B99" i="6"/>
  <c r="D99" i="6"/>
  <c r="E99" i="6"/>
  <c r="F99" i="6"/>
  <c r="G99" i="6"/>
  <c r="H99" i="6"/>
  <c r="A100" i="6"/>
  <c r="B100" i="6"/>
  <c r="D100" i="6"/>
  <c r="E100" i="6"/>
  <c r="F100" i="6"/>
  <c r="G100" i="6"/>
  <c r="H100" i="6"/>
  <c r="A101" i="6"/>
  <c r="B101" i="6"/>
  <c r="D101" i="6"/>
  <c r="E101" i="6"/>
  <c r="F101" i="6"/>
  <c r="G101" i="6"/>
  <c r="H101" i="6"/>
  <c r="A102" i="6"/>
  <c r="B102" i="6"/>
  <c r="D102" i="6"/>
  <c r="E102" i="6"/>
  <c r="F102" i="6"/>
  <c r="G102" i="6"/>
  <c r="H102" i="6"/>
  <c r="A103" i="6"/>
  <c r="B103" i="6"/>
  <c r="D103" i="6"/>
  <c r="E103" i="6"/>
  <c r="F103" i="6"/>
  <c r="G103" i="6"/>
  <c r="H103" i="6"/>
  <c r="A104" i="6"/>
  <c r="B104" i="6"/>
  <c r="D104" i="6"/>
  <c r="E104" i="6"/>
  <c r="F104" i="6"/>
  <c r="G104" i="6"/>
  <c r="H104" i="6"/>
  <c r="A105" i="6"/>
  <c r="B105" i="6"/>
  <c r="D105" i="6"/>
  <c r="E105" i="6"/>
  <c r="F105" i="6"/>
  <c r="G105" i="6"/>
  <c r="H105" i="6"/>
  <c r="A106" i="6"/>
  <c r="B106" i="6"/>
  <c r="D106" i="6"/>
  <c r="E106" i="6"/>
  <c r="F106" i="6"/>
  <c r="G106" i="6"/>
  <c r="H106" i="6"/>
  <c r="A107" i="6"/>
  <c r="B107" i="6"/>
  <c r="D107" i="6"/>
  <c r="E107" i="6"/>
  <c r="F107" i="6"/>
  <c r="G107" i="6"/>
  <c r="H107" i="6"/>
  <c r="A108" i="6"/>
  <c r="B108" i="6"/>
  <c r="D108" i="6"/>
  <c r="E108" i="6"/>
  <c r="F108" i="6"/>
  <c r="G108" i="6"/>
  <c r="H108" i="6"/>
  <c r="A109" i="6"/>
  <c r="B109" i="6"/>
  <c r="D109" i="6"/>
  <c r="E109" i="6"/>
  <c r="F109" i="6"/>
  <c r="G109" i="6"/>
  <c r="H109" i="6"/>
  <c r="A110" i="6"/>
  <c r="B110" i="6"/>
  <c r="D110" i="6"/>
  <c r="E110" i="6"/>
  <c r="F110" i="6"/>
  <c r="G110" i="6"/>
  <c r="H110" i="6"/>
  <c r="A111" i="6"/>
  <c r="B111" i="6"/>
  <c r="D111" i="6"/>
  <c r="E111" i="6"/>
  <c r="F111" i="6"/>
  <c r="G111" i="6"/>
  <c r="H111" i="6"/>
  <c r="A112" i="6"/>
  <c r="B112" i="6"/>
  <c r="D112" i="6"/>
  <c r="E112" i="6"/>
  <c r="F112" i="6"/>
  <c r="G112" i="6"/>
  <c r="H112" i="6"/>
  <c r="A113" i="6"/>
  <c r="B113" i="6"/>
  <c r="D113" i="6"/>
  <c r="E113" i="6"/>
  <c r="F113" i="6"/>
  <c r="G113" i="6"/>
  <c r="H113" i="6"/>
  <c r="A114" i="6"/>
  <c r="B114" i="6"/>
  <c r="D114" i="6"/>
  <c r="E114" i="6"/>
  <c r="F114" i="6"/>
  <c r="G114" i="6"/>
  <c r="H114" i="6"/>
  <c r="A115" i="6"/>
  <c r="B115" i="6"/>
  <c r="D115" i="6"/>
  <c r="E115" i="6"/>
  <c r="F115" i="6"/>
  <c r="G115" i="6"/>
  <c r="H115" i="6"/>
  <c r="A116" i="6"/>
  <c r="B116" i="6"/>
  <c r="D116" i="6"/>
  <c r="E116" i="6"/>
  <c r="F116" i="6"/>
  <c r="G116" i="6"/>
  <c r="H116" i="6"/>
  <c r="A117" i="6"/>
  <c r="B117" i="6"/>
  <c r="D117" i="6"/>
  <c r="E117" i="6"/>
  <c r="F117" i="6"/>
  <c r="G117" i="6"/>
  <c r="H117" i="6"/>
  <c r="A118" i="6"/>
  <c r="B118" i="6"/>
  <c r="D118" i="6"/>
  <c r="E118" i="6"/>
  <c r="F118" i="6"/>
  <c r="G118" i="6"/>
  <c r="H118" i="6"/>
  <c r="A119" i="6"/>
  <c r="B119" i="6"/>
  <c r="D119" i="6"/>
  <c r="E119" i="6"/>
  <c r="F119" i="6"/>
  <c r="G119" i="6"/>
  <c r="H119" i="6"/>
  <c r="A120" i="6"/>
  <c r="B120" i="6"/>
  <c r="D120" i="6"/>
  <c r="E120" i="6"/>
  <c r="F120" i="6"/>
  <c r="G120" i="6"/>
  <c r="H120" i="6"/>
  <c r="A121" i="6"/>
  <c r="B121" i="6"/>
  <c r="D121" i="6"/>
  <c r="E121" i="6"/>
  <c r="F121" i="6"/>
  <c r="G121" i="6"/>
  <c r="H121" i="6"/>
  <c r="A122" i="6"/>
  <c r="B122" i="6"/>
  <c r="D122" i="6"/>
  <c r="E122" i="6"/>
  <c r="F122" i="6"/>
  <c r="G122" i="6"/>
  <c r="H122" i="6"/>
  <c r="A123" i="6"/>
  <c r="B123" i="6"/>
  <c r="D123" i="6"/>
  <c r="E123" i="6"/>
  <c r="F123" i="6"/>
  <c r="G123" i="6"/>
  <c r="H123" i="6"/>
  <c r="A124" i="6"/>
  <c r="B124" i="6"/>
  <c r="D124" i="6"/>
  <c r="E124" i="6"/>
  <c r="F124" i="6"/>
  <c r="G124" i="6"/>
  <c r="H124" i="6"/>
  <c r="A125" i="6"/>
  <c r="B125" i="6"/>
  <c r="D125" i="6"/>
  <c r="E125" i="6"/>
  <c r="F125" i="6"/>
  <c r="G125" i="6"/>
  <c r="H125" i="6"/>
  <c r="A126" i="6"/>
  <c r="B126" i="6"/>
  <c r="D126" i="6"/>
  <c r="E126" i="6"/>
  <c r="F126" i="6"/>
  <c r="G126" i="6"/>
  <c r="H126" i="6"/>
  <c r="A127" i="6"/>
  <c r="B127" i="6"/>
  <c r="D127" i="6"/>
  <c r="E127" i="6"/>
  <c r="F127" i="6"/>
  <c r="G127" i="6"/>
  <c r="H127" i="6"/>
  <c r="A128" i="6"/>
  <c r="B128" i="6"/>
  <c r="D128" i="6"/>
  <c r="E128" i="6"/>
  <c r="F128" i="6"/>
  <c r="G128" i="6"/>
  <c r="H128" i="6"/>
  <c r="A129" i="6"/>
  <c r="B129" i="6"/>
  <c r="D129" i="6"/>
  <c r="E129" i="6"/>
  <c r="F129" i="6"/>
  <c r="G129" i="6"/>
  <c r="H129" i="6"/>
  <c r="A130" i="6"/>
  <c r="B130" i="6"/>
  <c r="D130" i="6"/>
  <c r="E130" i="6"/>
  <c r="F130" i="6"/>
  <c r="G130" i="6"/>
  <c r="H130" i="6"/>
  <c r="A131" i="6"/>
  <c r="B131" i="6"/>
  <c r="D131" i="6"/>
  <c r="E131" i="6"/>
  <c r="F131" i="6"/>
  <c r="G131" i="6"/>
  <c r="H131" i="6"/>
  <c r="A132" i="6"/>
  <c r="B132" i="6"/>
  <c r="D132" i="6"/>
  <c r="E132" i="6"/>
  <c r="F132" i="6"/>
  <c r="G132" i="6"/>
  <c r="H132" i="6"/>
  <c r="A133" i="6"/>
  <c r="B133" i="6"/>
  <c r="D133" i="6"/>
  <c r="E133" i="6"/>
  <c r="F133" i="6"/>
  <c r="G133" i="6"/>
  <c r="H133" i="6"/>
  <c r="A134" i="6"/>
  <c r="B134" i="6"/>
  <c r="D134" i="6"/>
  <c r="E134" i="6"/>
  <c r="F134" i="6"/>
  <c r="G134" i="6"/>
  <c r="H134" i="6"/>
  <c r="A135" i="6"/>
  <c r="B135" i="6"/>
  <c r="D135" i="6"/>
  <c r="E135" i="6"/>
  <c r="F135" i="6"/>
  <c r="G135" i="6"/>
  <c r="H135" i="6"/>
  <c r="A136" i="6"/>
  <c r="B136" i="6"/>
  <c r="D136" i="6"/>
  <c r="E136" i="6"/>
  <c r="F136" i="6"/>
  <c r="G136" i="6"/>
  <c r="H136" i="6"/>
  <c r="A24" i="6"/>
  <c r="B24" i="6"/>
  <c r="D24" i="6"/>
  <c r="E24" i="6"/>
  <c r="F24" i="6"/>
  <c r="G24" i="6"/>
  <c r="H24" i="6"/>
  <c r="A25" i="6"/>
  <c r="B25" i="6"/>
  <c r="D25" i="6"/>
  <c r="E25" i="6"/>
  <c r="F25" i="6"/>
  <c r="G25" i="6"/>
  <c r="H25" i="6"/>
  <c r="A26" i="6"/>
  <c r="B26" i="6"/>
  <c r="D26" i="6"/>
  <c r="E26" i="6"/>
  <c r="F26" i="6"/>
  <c r="G26" i="6"/>
  <c r="H26" i="6"/>
  <c r="A27" i="6"/>
  <c r="B27" i="6"/>
  <c r="D27" i="6"/>
  <c r="E27" i="6"/>
  <c r="F27" i="6"/>
  <c r="G27" i="6"/>
  <c r="H27" i="6"/>
  <c r="A28" i="6"/>
  <c r="C28" i="6" s="1"/>
  <c r="B28" i="6"/>
  <c r="D28" i="6"/>
  <c r="E28" i="6"/>
  <c r="F28" i="6"/>
  <c r="G28" i="6"/>
  <c r="H28" i="6"/>
  <c r="A29" i="6"/>
  <c r="B29" i="6"/>
  <c r="D29" i="6"/>
  <c r="E29" i="6"/>
  <c r="F29" i="6"/>
  <c r="G29" i="6"/>
  <c r="H29" i="6"/>
  <c r="A30" i="6"/>
  <c r="B30" i="6"/>
  <c r="D30" i="6"/>
  <c r="E30" i="6"/>
  <c r="F30" i="6"/>
  <c r="G30" i="6"/>
  <c r="H30" i="6"/>
  <c r="A31" i="6"/>
  <c r="B31" i="6"/>
  <c r="D31" i="6"/>
  <c r="E31" i="6"/>
  <c r="F31" i="6"/>
  <c r="G31" i="6"/>
  <c r="H31" i="6"/>
  <c r="A32" i="6"/>
  <c r="B32" i="6"/>
  <c r="D32" i="6"/>
  <c r="E32" i="6"/>
  <c r="F32" i="6"/>
  <c r="G32" i="6"/>
  <c r="H32" i="6"/>
  <c r="A33" i="6"/>
  <c r="B33" i="6"/>
  <c r="D33" i="6"/>
  <c r="E33" i="6"/>
  <c r="F33" i="6"/>
  <c r="G33" i="6"/>
  <c r="H33" i="6"/>
  <c r="A34" i="6"/>
  <c r="B34" i="6"/>
  <c r="D34" i="6"/>
  <c r="E34" i="6"/>
  <c r="F34" i="6"/>
  <c r="G34" i="6"/>
  <c r="H34" i="6"/>
  <c r="A35" i="6"/>
  <c r="B35" i="6"/>
  <c r="D35" i="6"/>
  <c r="E35" i="6"/>
  <c r="F35" i="6"/>
  <c r="G35" i="6"/>
  <c r="H35" i="6"/>
  <c r="A36" i="6"/>
  <c r="C36" i="6" s="1"/>
  <c r="B36" i="6"/>
  <c r="D36" i="6"/>
  <c r="E36" i="6"/>
  <c r="F36" i="6"/>
  <c r="G36" i="6"/>
  <c r="H36" i="6"/>
  <c r="A37" i="6"/>
  <c r="B37" i="6"/>
  <c r="D37" i="6"/>
  <c r="E37" i="6"/>
  <c r="F37" i="6"/>
  <c r="G37" i="6"/>
  <c r="H37" i="6"/>
  <c r="A38" i="6"/>
  <c r="B38" i="6"/>
  <c r="D38" i="6"/>
  <c r="E38" i="6"/>
  <c r="F38" i="6"/>
  <c r="G38" i="6"/>
  <c r="H38" i="6"/>
  <c r="A39" i="6"/>
  <c r="B39" i="6"/>
  <c r="D39" i="6"/>
  <c r="E39" i="6"/>
  <c r="F39" i="6"/>
  <c r="G39" i="6"/>
  <c r="H39" i="6"/>
  <c r="A40" i="6"/>
  <c r="B40" i="6"/>
  <c r="D40" i="6"/>
  <c r="E40" i="6"/>
  <c r="F40" i="6"/>
  <c r="G40" i="6"/>
  <c r="H40" i="6"/>
  <c r="A41" i="6"/>
  <c r="B41" i="6"/>
  <c r="D41" i="6"/>
  <c r="E41" i="6"/>
  <c r="F41" i="6"/>
  <c r="G41" i="6"/>
  <c r="H41" i="6"/>
  <c r="A42" i="6"/>
  <c r="B42" i="6"/>
  <c r="D42" i="6"/>
  <c r="E42" i="6"/>
  <c r="F42" i="6"/>
  <c r="G42" i="6"/>
  <c r="H42" i="6"/>
  <c r="A43" i="6"/>
  <c r="B43" i="6"/>
  <c r="D43" i="6"/>
  <c r="E43" i="6"/>
  <c r="F43" i="6"/>
  <c r="G43" i="6"/>
  <c r="H43" i="6"/>
  <c r="A44" i="6"/>
  <c r="C44" i="6" s="1"/>
  <c r="B44" i="6"/>
  <c r="D44" i="6"/>
  <c r="E44" i="6"/>
  <c r="F44" i="6"/>
  <c r="G44" i="6"/>
  <c r="H44" i="6"/>
  <c r="A45" i="6"/>
  <c r="B45" i="6"/>
  <c r="D45" i="6"/>
  <c r="E45" i="6"/>
  <c r="F45" i="6"/>
  <c r="G45" i="6"/>
  <c r="H45" i="6"/>
  <c r="A46" i="6"/>
  <c r="B46" i="6"/>
  <c r="D46" i="6"/>
  <c r="E46" i="6"/>
  <c r="F46" i="6"/>
  <c r="G46" i="6"/>
  <c r="H46" i="6"/>
  <c r="A47" i="6"/>
  <c r="B47" i="6"/>
  <c r="D47" i="6"/>
  <c r="E47" i="6"/>
  <c r="F47" i="6"/>
  <c r="G47" i="6"/>
  <c r="H47" i="6"/>
  <c r="A48" i="6"/>
  <c r="B48" i="6"/>
  <c r="D48" i="6"/>
  <c r="E48" i="6"/>
  <c r="F48" i="6"/>
  <c r="G48" i="6"/>
  <c r="H48" i="6"/>
  <c r="A49" i="6"/>
  <c r="B49" i="6"/>
  <c r="D49" i="6"/>
  <c r="E49" i="6"/>
  <c r="F49" i="6"/>
  <c r="G49" i="6"/>
  <c r="H49" i="6"/>
  <c r="A50" i="6"/>
  <c r="B50" i="6"/>
  <c r="D50" i="6"/>
  <c r="E50" i="6"/>
  <c r="F50" i="6"/>
  <c r="G50" i="6"/>
  <c r="H50" i="6"/>
  <c r="A51" i="6"/>
  <c r="B51" i="6"/>
  <c r="D51" i="6"/>
  <c r="E51" i="6"/>
  <c r="F51" i="6"/>
  <c r="G51" i="6"/>
  <c r="H51" i="6"/>
  <c r="A52" i="6"/>
  <c r="C52" i="6" s="1"/>
  <c r="B52" i="6"/>
  <c r="D52" i="6"/>
  <c r="E52" i="6"/>
  <c r="F52" i="6"/>
  <c r="G52" i="6"/>
  <c r="H52" i="6"/>
  <c r="C127" i="6" l="1"/>
  <c r="C119" i="6"/>
  <c r="C111" i="6"/>
  <c r="C103" i="6"/>
  <c r="C95" i="6"/>
  <c r="C87" i="6"/>
  <c r="C79" i="6"/>
  <c r="C71" i="6"/>
  <c r="C63" i="6"/>
  <c r="C55" i="6"/>
  <c r="C133" i="6"/>
  <c r="C50" i="6"/>
  <c r="C42" i="6"/>
  <c r="C34" i="6"/>
  <c r="C26" i="6"/>
  <c r="C125" i="6"/>
  <c r="C134" i="6"/>
  <c r="C126" i="6"/>
  <c r="C118" i="6"/>
  <c r="C110" i="6"/>
  <c r="C102" i="6"/>
  <c r="C94" i="6"/>
  <c r="C86" i="6"/>
  <c r="C78" i="6"/>
  <c r="C70" i="6"/>
  <c r="C62" i="6"/>
  <c r="C54" i="6"/>
  <c r="C135" i="6"/>
  <c r="C120" i="6"/>
  <c r="C112" i="6"/>
  <c r="C104" i="6"/>
  <c r="C96" i="6"/>
  <c r="C88" i="6"/>
  <c r="C80" i="6"/>
  <c r="C72" i="6"/>
  <c r="C64" i="6"/>
  <c r="C56" i="6"/>
  <c r="C31" i="6"/>
  <c r="C136" i="6"/>
  <c r="C48" i="6"/>
  <c r="C32" i="6"/>
  <c r="C24" i="6"/>
  <c r="C129" i="6"/>
  <c r="C121" i="6"/>
  <c r="C113" i="6"/>
  <c r="C105" i="6"/>
  <c r="C97" i="6"/>
  <c r="C89" i="6"/>
  <c r="C81" i="6"/>
  <c r="C73" i="6"/>
  <c r="C65" i="6"/>
  <c r="C57" i="6"/>
  <c r="C45" i="6"/>
  <c r="C37" i="6"/>
  <c r="C29" i="6"/>
  <c r="C46" i="6"/>
  <c r="C38" i="6"/>
  <c r="C30" i="6"/>
  <c r="C128" i="6"/>
  <c r="C40" i="6"/>
  <c r="C49" i="6"/>
  <c r="C41" i="6"/>
  <c r="C33" i="6"/>
  <c r="C25" i="6"/>
  <c r="C130" i="6"/>
  <c r="C122" i="6"/>
  <c r="C114" i="6"/>
  <c r="C106" i="6"/>
  <c r="C98" i="6"/>
  <c r="C90" i="6"/>
  <c r="C82" i="6"/>
  <c r="C74" i="6"/>
  <c r="C66" i="6"/>
  <c r="C58" i="6"/>
  <c r="C39" i="6"/>
  <c r="C131" i="6"/>
  <c r="C123" i="6"/>
  <c r="C115" i="6"/>
  <c r="C107" i="6"/>
  <c r="C99" i="6"/>
  <c r="C91" i="6"/>
  <c r="C83" i="6"/>
  <c r="C75" i="6"/>
  <c r="C67" i="6"/>
  <c r="C59" i="6"/>
  <c r="C47" i="6"/>
  <c r="C51" i="6"/>
  <c r="C43" i="6"/>
  <c r="C35" i="6"/>
  <c r="C27" i="6"/>
  <c r="C132" i="6"/>
  <c r="C124" i="6"/>
  <c r="C116" i="6"/>
  <c r="C108" i="6"/>
  <c r="C100" i="6"/>
  <c r="C92" i="6"/>
  <c r="C84" i="6"/>
  <c r="C76" i="6"/>
  <c r="C68" i="6"/>
  <c r="C60" i="6"/>
  <c r="C117" i="6"/>
  <c r="C109" i="6"/>
  <c r="C101" i="6"/>
  <c r="C93" i="6"/>
  <c r="C85" i="6"/>
  <c r="C77" i="6"/>
  <c r="C69" i="6"/>
  <c r="C61" i="6"/>
  <c r="C53" i="6"/>
  <c r="A3" i="6"/>
  <c r="B3" i="6"/>
  <c r="D3" i="6"/>
  <c r="E3" i="6"/>
  <c r="F3" i="6"/>
  <c r="G3" i="6"/>
  <c r="H3" i="6"/>
  <c r="A4" i="6"/>
  <c r="B4" i="6"/>
  <c r="D4" i="6"/>
  <c r="E4" i="6"/>
  <c r="F4" i="6"/>
  <c r="G4" i="6"/>
  <c r="H4" i="6"/>
  <c r="A5" i="6"/>
  <c r="B5" i="6"/>
  <c r="D5" i="6"/>
  <c r="E5" i="6"/>
  <c r="F5" i="6"/>
  <c r="G5" i="6"/>
  <c r="H5" i="6"/>
  <c r="A6" i="6"/>
  <c r="B6" i="6"/>
  <c r="D6" i="6"/>
  <c r="E6" i="6"/>
  <c r="F6" i="6"/>
  <c r="G6" i="6"/>
  <c r="H6" i="6"/>
  <c r="A7" i="6"/>
  <c r="B7" i="6"/>
  <c r="D7" i="6"/>
  <c r="E7" i="6"/>
  <c r="F7" i="6"/>
  <c r="G7" i="6"/>
  <c r="H7" i="6"/>
  <c r="A8" i="6"/>
  <c r="B8" i="6"/>
  <c r="D8" i="6"/>
  <c r="E8" i="6"/>
  <c r="F8" i="6"/>
  <c r="G8" i="6"/>
  <c r="H8" i="6"/>
  <c r="A9" i="6"/>
  <c r="B9" i="6"/>
  <c r="D9" i="6"/>
  <c r="E9" i="6"/>
  <c r="F9" i="6"/>
  <c r="G9" i="6"/>
  <c r="H9" i="6"/>
  <c r="A10" i="6"/>
  <c r="B10" i="6"/>
  <c r="D10" i="6"/>
  <c r="E10" i="6"/>
  <c r="F10" i="6"/>
  <c r="G10" i="6"/>
  <c r="H10" i="6"/>
  <c r="A11" i="6"/>
  <c r="B11" i="6"/>
  <c r="D11" i="6"/>
  <c r="E11" i="6"/>
  <c r="F11" i="6"/>
  <c r="G11" i="6"/>
  <c r="H11" i="6"/>
  <c r="A12" i="6"/>
  <c r="B12" i="6"/>
  <c r="D12" i="6"/>
  <c r="E12" i="6"/>
  <c r="F12" i="6"/>
  <c r="G12" i="6"/>
  <c r="H12" i="6"/>
  <c r="A13" i="6"/>
  <c r="B13" i="6"/>
  <c r="D13" i="6"/>
  <c r="E13" i="6"/>
  <c r="F13" i="6"/>
  <c r="G13" i="6"/>
  <c r="H13" i="6"/>
  <c r="A14" i="6"/>
  <c r="B14" i="6"/>
  <c r="D14" i="6"/>
  <c r="E14" i="6"/>
  <c r="F14" i="6"/>
  <c r="G14" i="6"/>
  <c r="H14" i="6"/>
  <c r="A15" i="6"/>
  <c r="B15" i="6"/>
  <c r="D15" i="6"/>
  <c r="E15" i="6"/>
  <c r="F15" i="6"/>
  <c r="G15" i="6"/>
  <c r="H15" i="6"/>
  <c r="A16" i="6"/>
  <c r="B16" i="6"/>
  <c r="D16" i="6"/>
  <c r="E16" i="6"/>
  <c r="F16" i="6"/>
  <c r="G16" i="6"/>
  <c r="H16" i="6"/>
  <c r="A17" i="6"/>
  <c r="B17" i="6"/>
  <c r="D17" i="6"/>
  <c r="E17" i="6"/>
  <c r="F17" i="6"/>
  <c r="G17" i="6"/>
  <c r="H17" i="6"/>
  <c r="A18" i="6"/>
  <c r="B18" i="6"/>
  <c r="D18" i="6"/>
  <c r="E18" i="6"/>
  <c r="F18" i="6"/>
  <c r="G18" i="6"/>
  <c r="H18" i="6"/>
  <c r="A19" i="6"/>
  <c r="B19" i="6"/>
  <c r="D19" i="6"/>
  <c r="E19" i="6"/>
  <c r="F19" i="6"/>
  <c r="G19" i="6"/>
  <c r="H19" i="6"/>
  <c r="A20" i="6"/>
  <c r="B20" i="6"/>
  <c r="D20" i="6"/>
  <c r="E20" i="6"/>
  <c r="F20" i="6"/>
  <c r="G20" i="6"/>
  <c r="H20" i="6"/>
  <c r="A21" i="6"/>
  <c r="B21" i="6"/>
  <c r="D21" i="6"/>
  <c r="E21" i="6"/>
  <c r="F21" i="6"/>
  <c r="G21" i="6"/>
  <c r="H21" i="6"/>
  <c r="A22" i="6"/>
  <c r="B22" i="6"/>
  <c r="D22" i="6"/>
  <c r="E22" i="6"/>
  <c r="F22" i="6"/>
  <c r="G22" i="6"/>
  <c r="H22" i="6"/>
  <c r="A23" i="6"/>
  <c r="B23" i="6"/>
  <c r="D23" i="6"/>
  <c r="E23" i="6"/>
  <c r="F23" i="6"/>
  <c r="G23" i="6"/>
  <c r="H23" i="6"/>
  <c r="H2" i="6"/>
  <c r="G2" i="6"/>
  <c r="F2" i="6"/>
  <c r="E2" i="6"/>
  <c r="D2" i="6"/>
  <c r="B2" i="6"/>
  <c r="A2" i="6"/>
  <c r="E5" i="4"/>
  <c r="F5" i="4"/>
  <c r="G5" i="4"/>
  <c r="H5" i="4"/>
  <c r="I5" i="4"/>
  <c r="J5" i="4"/>
  <c r="K5" i="4"/>
  <c r="L5" i="4"/>
  <c r="M5" i="4"/>
  <c r="N5" i="4"/>
  <c r="O5" i="4"/>
  <c r="P5" i="4"/>
  <c r="Q5" i="4"/>
  <c r="R5" i="4"/>
  <c r="S5" i="4"/>
  <c r="T5" i="4"/>
  <c r="U5" i="4"/>
  <c r="E6" i="4"/>
  <c r="F6" i="4"/>
  <c r="G6" i="4"/>
  <c r="H6" i="4"/>
  <c r="I6" i="4"/>
  <c r="J6" i="4"/>
  <c r="K6" i="4"/>
  <c r="L6" i="4"/>
  <c r="M6" i="4"/>
  <c r="N6" i="4"/>
  <c r="O6" i="4"/>
  <c r="P6" i="4"/>
  <c r="Q6" i="4"/>
  <c r="R6" i="4"/>
  <c r="S6" i="4"/>
  <c r="T6" i="4"/>
  <c r="U6" i="4"/>
  <c r="E7" i="4"/>
  <c r="F7" i="4"/>
  <c r="G7" i="4"/>
  <c r="H7" i="4"/>
  <c r="I7" i="4"/>
  <c r="J7" i="4"/>
  <c r="K7" i="4"/>
  <c r="L7" i="4"/>
  <c r="M7" i="4"/>
  <c r="N7" i="4"/>
  <c r="O7" i="4"/>
  <c r="P7" i="4"/>
  <c r="Q7" i="4"/>
  <c r="R7" i="4"/>
  <c r="S7" i="4"/>
  <c r="T7" i="4"/>
  <c r="U7" i="4"/>
  <c r="E8" i="4"/>
  <c r="F8" i="4"/>
  <c r="G8" i="4"/>
  <c r="H8" i="4"/>
  <c r="I8" i="4"/>
  <c r="J8" i="4"/>
  <c r="K8" i="4"/>
  <c r="L8" i="4"/>
  <c r="M8" i="4"/>
  <c r="N8" i="4"/>
  <c r="O8" i="4"/>
  <c r="P8" i="4"/>
  <c r="Q8" i="4"/>
  <c r="R8" i="4"/>
  <c r="S8" i="4"/>
  <c r="T8" i="4"/>
  <c r="U8" i="4"/>
  <c r="E9" i="4"/>
  <c r="F9" i="4"/>
  <c r="G9" i="4"/>
  <c r="H9" i="4"/>
  <c r="I9" i="4"/>
  <c r="J9" i="4"/>
  <c r="K9" i="4"/>
  <c r="L9" i="4"/>
  <c r="M9" i="4"/>
  <c r="N9" i="4"/>
  <c r="O9" i="4"/>
  <c r="P9" i="4"/>
  <c r="Q9" i="4"/>
  <c r="R9" i="4"/>
  <c r="S9" i="4"/>
  <c r="T9" i="4"/>
  <c r="U9" i="4"/>
  <c r="E10" i="4"/>
  <c r="F10" i="4"/>
  <c r="G10" i="4"/>
  <c r="H10" i="4"/>
  <c r="I10" i="4"/>
  <c r="J10" i="4"/>
  <c r="K10" i="4"/>
  <c r="L10" i="4"/>
  <c r="M10" i="4"/>
  <c r="N10" i="4"/>
  <c r="O10" i="4"/>
  <c r="P10" i="4"/>
  <c r="Q10" i="4"/>
  <c r="R10" i="4"/>
  <c r="S10" i="4"/>
  <c r="T10" i="4"/>
  <c r="U10" i="4"/>
  <c r="E11" i="4"/>
  <c r="F11" i="4"/>
  <c r="G11" i="4"/>
  <c r="H11" i="4"/>
  <c r="I11" i="4"/>
  <c r="J11" i="4"/>
  <c r="K11" i="4"/>
  <c r="L11" i="4"/>
  <c r="M11" i="4"/>
  <c r="N11" i="4"/>
  <c r="O11" i="4"/>
  <c r="P11" i="4"/>
  <c r="Q11" i="4"/>
  <c r="R11" i="4"/>
  <c r="S11" i="4"/>
  <c r="T11" i="4"/>
  <c r="U11" i="4"/>
  <c r="E12" i="4"/>
  <c r="F12" i="4"/>
  <c r="G12" i="4"/>
  <c r="H12" i="4"/>
  <c r="I12" i="4"/>
  <c r="J12" i="4"/>
  <c r="K12" i="4"/>
  <c r="L12" i="4"/>
  <c r="M12" i="4"/>
  <c r="N12" i="4"/>
  <c r="O12" i="4"/>
  <c r="P12" i="4"/>
  <c r="Q12" i="4"/>
  <c r="R12" i="4"/>
  <c r="S12" i="4"/>
  <c r="T12" i="4"/>
  <c r="U12" i="4"/>
  <c r="E13" i="4"/>
  <c r="F13" i="4"/>
  <c r="G13" i="4"/>
  <c r="H13" i="4"/>
  <c r="I13" i="4"/>
  <c r="J13" i="4"/>
  <c r="K13" i="4"/>
  <c r="L13" i="4"/>
  <c r="M13" i="4"/>
  <c r="N13" i="4"/>
  <c r="O13" i="4"/>
  <c r="P13" i="4"/>
  <c r="Q13" i="4"/>
  <c r="R13" i="4"/>
  <c r="S13" i="4"/>
  <c r="T13" i="4"/>
  <c r="U13" i="4"/>
  <c r="E14" i="4"/>
  <c r="F14" i="4"/>
  <c r="G14" i="4"/>
  <c r="H14" i="4"/>
  <c r="I14" i="4"/>
  <c r="J14" i="4"/>
  <c r="K14" i="4"/>
  <c r="L14" i="4"/>
  <c r="M14" i="4"/>
  <c r="N14" i="4"/>
  <c r="O14" i="4"/>
  <c r="P14" i="4"/>
  <c r="Q14" i="4"/>
  <c r="R14" i="4"/>
  <c r="S14" i="4"/>
  <c r="T14" i="4"/>
  <c r="U14" i="4"/>
  <c r="E15" i="4"/>
  <c r="F15" i="4"/>
  <c r="G15" i="4"/>
  <c r="H15" i="4"/>
  <c r="I15" i="4"/>
  <c r="J15" i="4"/>
  <c r="K15" i="4"/>
  <c r="L15" i="4"/>
  <c r="M15" i="4"/>
  <c r="N15" i="4"/>
  <c r="O15" i="4"/>
  <c r="P15" i="4"/>
  <c r="Q15" i="4"/>
  <c r="R15" i="4"/>
  <c r="S15" i="4"/>
  <c r="T15" i="4"/>
  <c r="U15" i="4"/>
  <c r="E16" i="4"/>
  <c r="F16" i="4"/>
  <c r="G16" i="4"/>
  <c r="H16" i="4"/>
  <c r="I16" i="4"/>
  <c r="J16" i="4"/>
  <c r="K16" i="4"/>
  <c r="L16" i="4"/>
  <c r="M16" i="4"/>
  <c r="N16" i="4"/>
  <c r="O16" i="4"/>
  <c r="P16" i="4"/>
  <c r="Q16" i="4"/>
  <c r="R16" i="4"/>
  <c r="S16" i="4"/>
  <c r="T16" i="4"/>
  <c r="U16" i="4"/>
  <c r="E17" i="4"/>
  <c r="F17" i="4"/>
  <c r="G17" i="4"/>
  <c r="H17" i="4"/>
  <c r="I17" i="4"/>
  <c r="J17" i="4"/>
  <c r="K17" i="4"/>
  <c r="L17" i="4"/>
  <c r="M17" i="4"/>
  <c r="N17" i="4"/>
  <c r="O17" i="4"/>
  <c r="P17" i="4"/>
  <c r="Q17" i="4"/>
  <c r="R17" i="4"/>
  <c r="S17" i="4"/>
  <c r="T17" i="4"/>
  <c r="U17" i="4"/>
  <c r="E18" i="4"/>
  <c r="F18" i="4"/>
  <c r="G18" i="4"/>
  <c r="H18" i="4"/>
  <c r="I18" i="4"/>
  <c r="J18" i="4"/>
  <c r="K18" i="4"/>
  <c r="L18" i="4"/>
  <c r="M18" i="4"/>
  <c r="N18" i="4"/>
  <c r="O18" i="4"/>
  <c r="P18" i="4"/>
  <c r="Q18" i="4"/>
  <c r="R18" i="4"/>
  <c r="S18" i="4"/>
  <c r="T18" i="4"/>
  <c r="U18" i="4"/>
  <c r="E19" i="4"/>
  <c r="F19" i="4"/>
  <c r="G19" i="4"/>
  <c r="H19" i="4"/>
  <c r="I19" i="4"/>
  <c r="J19" i="4"/>
  <c r="K19" i="4"/>
  <c r="L19" i="4"/>
  <c r="M19" i="4"/>
  <c r="N19" i="4"/>
  <c r="O19" i="4"/>
  <c r="P19" i="4"/>
  <c r="Q19" i="4"/>
  <c r="R19" i="4"/>
  <c r="S19" i="4"/>
  <c r="T19" i="4"/>
  <c r="U19" i="4"/>
  <c r="E20" i="4"/>
  <c r="F20" i="4"/>
  <c r="G20" i="4"/>
  <c r="H20" i="4"/>
  <c r="I20" i="4"/>
  <c r="J20" i="4"/>
  <c r="K20" i="4"/>
  <c r="L20" i="4"/>
  <c r="M20" i="4"/>
  <c r="N20" i="4"/>
  <c r="O20" i="4"/>
  <c r="P20" i="4"/>
  <c r="Q20" i="4"/>
  <c r="R20" i="4"/>
  <c r="S20" i="4"/>
  <c r="T20" i="4"/>
  <c r="U20" i="4"/>
  <c r="E21" i="4"/>
  <c r="F21" i="4"/>
  <c r="G21" i="4"/>
  <c r="H21" i="4"/>
  <c r="I21" i="4"/>
  <c r="J21" i="4"/>
  <c r="K21" i="4"/>
  <c r="L21" i="4"/>
  <c r="M21" i="4"/>
  <c r="N21" i="4"/>
  <c r="O21" i="4"/>
  <c r="P21" i="4"/>
  <c r="Q21" i="4"/>
  <c r="R21" i="4"/>
  <c r="S21" i="4"/>
  <c r="T21" i="4"/>
  <c r="U21" i="4"/>
  <c r="U4" i="4"/>
  <c r="T4" i="4"/>
  <c r="S4" i="4"/>
  <c r="R4" i="4"/>
  <c r="Q4" i="4"/>
  <c r="P4" i="4"/>
  <c r="O4" i="4"/>
  <c r="N4" i="4"/>
  <c r="M4" i="4"/>
  <c r="L4" i="4"/>
  <c r="K4" i="4"/>
  <c r="J4" i="4"/>
  <c r="I4" i="4"/>
  <c r="H4" i="4"/>
  <c r="G4" i="4"/>
  <c r="F4" i="4"/>
  <c r="E4" i="4"/>
  <c r="G22" i="5"/>
  <c r="G2" i="5"/>
  <c r="C17" i="6" l="1"/>
  <c r="C9" i="6"/>
  <c r="C18" i="6"/>
  <c r="C10" i="6"/>
  <c r="C19" i="6"/>
  <c r="C11" i="6"/>
  <c r="C3" i="6"/>
  <c r="C20" i="6"/>
  <c r="C12" i="6"/>
  <c r="C4" i="6"/>
  <c r="C21" i="6"/>
  <c r="C13" i="6"/>
  <c r="C5" i="6"/>
  <c r="C22" i="6"/>
  <c r="C14" i="6"/>
  <c r="C6" i="6"/>
  <c r="C23" i="6"/>
  <c r="C15" i="6"/>
  <c r="C7" i="6"/>
  <c r="C16" i="6"/>
  <c r="C8" i="6"/>
  <c r="G3" i="5"/>
  <c r="C5" i="5"/>
  <c r="C6" i="5"/>
  <c r="C2" i="6" l="1"/>
  <c r="E17" i="5" s="1"/>
  <c r="B4" i="5"/>
  <c r="F14" i="5" l="1"/>
  <c r="B14" i="5"/>
  <c r="B16" i="5"/>
  <c r="E12" i="5"/>
  <c r="F12" i="5"/>
  <c r="F15" i="5"/>
  <c r="B17" i="5"/>
  <c r="B18" i="5"/>
  <c r="B13" i="5"/>
  <c r="F19" i="5"/>
  <c r="F17" i="5"/>
  <c r="G17" i="5" s="1"/>
  <c r="B15" i="5"/>
  <c r="F16" i="5"/>
  <c r="B19" i="5"/>
  <c r="B12" i="5"/>
  <c r="E19" i="5"/>
  <c r="E16" i="5"/>
  <c r="F13" i="5"/>
  <c r="E13" i="5"/>
  <c r="E14" i="5"/>
  <c r="F18" i="5"/>
  <c r="E18" i="5"/>
  <c r="E15" i="5"/>
  <c r="G14" i="5" l="1"/>
  <c r="G12" i="5"/>
  <c r="G13" i="5"/>
  <c r="G16" i="5"/>
  <c r="G15" i="5"/>
  <c r="G18" i="5"/>
  <c r="G19" i="5"/>
  <c r="E9" i="5" l="1"/>
  <c r="G23" i="5" l="1"/>
</calcChain>
</file>

<file path=xl/comments1.xml><?xml version="1.0" encoding="utf-8"?>
<comments xmlns="http://schemas.openxmlformats.org/spreadsheetml/2006/main">
  <authors>
    <author>Kiyoshige Otsuki</author>
  </authors>
  <commentList>
    <comment ref="B4" authorId="0" shapeId="0">
      <text>
        <r>
          <rPr>
            <b/>
            <sz val="9"/>
            <color indexed="81"/>
            <rFont val="ＭＳ Ｐゴシック"/>
            <family val="3"/>
            <charset val="128"/>
          </rPr>
          <t>お取引先名または個人名を入力</t>
        </r>
      </text>
    </comment>
    <comment ref="D4" authorId="0" shapeId="0">
      <text>
        <r>
          <rPr>
            <b/>
            <sz val="9"/>
            <color indexed="81"/>
            <rFont val="ＭＳ Ｐゴシック"/>
            <family val="3"/>
            <charset val="128"/>
          </rPr>
          <t>敬称</t>
        </r>
      </text>
    </comment>
    <comment ref="B11" authorId="0" shapeId="0">
      <text>
        <r>
          <rPr>
            <b/>
            <sz val="9"/>
            <color indexed="81"/>
            <rFont val="ＭＳ Ｐゴシック"/>
            <family val="3"/>
            <charset val="128"/>
          </rPr>
          <t xml:space="preserve">品目　
</t>
        </r>
      </text>
    </comment>
    <comment ref="E11" authorId="0" shapeId="0">
      <text>
        <r>
          <rPr>
            <b/>
            <sz val="9"/>
            <color indexed="81"/>
            <rFont val="ＭＳ Ｐゴシック"/>
            <family val="3"/>
            <charset val="128"/>
          </rPr>
          <t>単価</t>
        </r>
      </text>
    </comment>
    <comment ref="F11" authorId="0" shapeId="0">
      <text>
        <r>
          <rPr>
            <b/>
            <sz val="9"/>
            <color indexed="81"/>
            <rFont val="ＭＳ Ｐゴシック"/>
            <family val="3"/>
            <charset val="128"/>
          </rPr>
          <t>数量</t>
        </r>
      </text>
    </comment>
    <comment ref="G11" authorId="0" shapeId="0">
      <text>
        <r>
          <rPr>
            <b/>
            <sz val="9"/>
            <color indexed="81"/>
            <rFont val="ＭＳ Ｐゴシック"/>
            <family val="3"/>
            <charset val="128"/>
          </rPr>
          <t>金額
計算されます</t>
        </r>
      </text>
    </comment>
    <comment ref="D22" authorId="0" shapeId="0">
      <text>
        <r>
          <rPr>
            <b/>
            <sz val="9"/>
            <color indexed="81"/>
            <rFont val="ＭＳ Ｐゴシック"/>
            <family val="3"/>
            <charset val="128"/>
          </rPr>
          <t>消費税率を入力</t>
        </r>
      </text>
    </comment>
  </commentList>
</comments>
</file>

<file path=xl/connections.xml><?xml version="1.0" encoding="utf-8"?>
<connections xmlns="http://schemas.openxmlformats.org/spreadsheetml/2006/main">
  <connection id="1" name="fshin2000-20160603 (1)" type="6" refreshedVersion="6" background="1" saveData="1">
    <textPr codePage="932" sourceFile="C:\Users\fshin\Desktop\fshin2000-20160603 (1).csv" tab="0" comma="1">
      <textFields count="27">
        <textField type="text"/>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<sst xmlns="http://schemas.openxmlformats.org/spreadsheetml/2006/main" count="1907" uniqueCount="408">
  <si>
    <t>注文ID</t>
  </si>
  <si>
    <t>注文日時</t>
  </si>
  <si>
    <t>氏(請求先)</t>
  </si>
  <si>
    <t>名(請求先)</t>
  </si>
  <si>
    <t>郵便番号(請求先)</t>
  </si>
  <si>
    <t>都道府県(請求先)</t>
  </si>
  <si>
    <t>住所(請求先)</t>
  </si>
  <si>
    <t>住所2(請求先)</t>
  </si>
  <si>
    <t>電話番号(請求先)</t>
  </si>
  <si>
    <t>メールアドレス(請求先)</t>
  </si>
  <si>
    <t>氏(配送先)</t>
  </si>
  <si>
    <t>名(配送先)</t>
  </si>
  <si>
    <t>郵便番号(配送先)</t>
  </si>
  <si>
    <t>都道府県(配送先)</t>
  </si>
  <si>
    <t>住所(配送先)</t>
  </si>
  <si>
    <t>住所2(配送先)</t>
  </si>
  <si>
    <t>電話番号(配送先)</t>
  </si>
  <si>
    <t>備考</t>
  </si>
  <si>
    <t>商品名</t>
  </si>
  <si>
    <t>バリエーション</t>
  </si>
  <si>
    <t>価格</t>
  </si>
  <si>
    <t>数量</t>
  </si>
  <si>
    <t>合計金額</t>
  </si>
  <si>
    <t>送料</t>
  </si>
  <si>
    <t>支払い方法</t>
  </si>
  <si>
    <t>代引き手数料</t>
  </si>
  <si>
    <t>発送状況</t>
  </si>
  <si>
    <t>1F49E388FCA97A95</t>
  </si>
  <si>
    <t>藤川</t>
  </si>
  <si>
    <t>真一</t>
  </si>
  <si>
    <t>東京都</t>
  </si>
  <si>
    <t>目黒区中目黒</t>
  </si>
  <si>
    <t>Sunset of Honolulu Beach</t>
  </si>
  <si>
    <t>銀行振込(ご自身の口座)</t>
  </si>
  <si>
    <t>発送済み</t>
  </si>
  <si>
    <t>515E3C014C0A0D23</t>
  </si>
  <si>
    <t>あ</t>
  </si>
  <si>
    <t>い</t>
  </si>
  <si>
    <t>あああ</t>
  </si>
  <si>
    <t>reserve</t>
  </si>
  <si>
    <t>サイズA</t>
  </si>
  <si>
    <t>00CE7C7588D8F5C2</t>
  </si>
  <si>
    <t>シンイチ</t>
  </si>
  <si>
    <t>渋谷区道玄坂</t>
  </si>
  <si>
    <t>リンツショコラ・カフェ　渋谷 reserve</t>
  </si>
  <si>
    <t>9B6C71A3B1C1C2E3</t>
  </si>
  <si>
    <t>藤川購入テスト</t>
  </si>
  <si>
    <t>です</t>
  </si>
  <si>
    <t>The Modern Honolulu</t>
  </si>
  <si>
    <t>C3C146FE4CD2D8D8</t>
  </si>
  <si>
    <t>マイルドヤンキーケース</t>
  </si>
  <si>
    <t>銀行振込</t>
  </si>
  <si>
    <t>E483133970132B96</t>
  </si>
  <si>
    <t>F01F147D0F3447BE</t>
  </si>
  <si>
    <t>6D6CA2DF8112B6E6</t>
  </si>
  <si>
    <t>1C5218267981E345</t>
  </si>
  <si>
    <t>93991EC6E33140D0</t>
  </si>
  <si>
    <t>目黒区東山</t>
  </si>
  <si>
    <t>EB2CED3D0E1A7607</t>
  </si>
  <si>
    <t>China town in Japan</t>
  </si>
  <si>
    <t>Route 66</t>
  </si>
  <si>
    <t>67CDE974345FA606</t>
  </si>
  <si>
    <t>1-23-43</t>
  </si>
  <si>
    <t>5E1AEA5E021DDB21</t>
  </si>
  <si>
    <t>054D0D6A07404873</t>
  </si>
  <si>
    <t>富士川</t>
  </si>
  <si>
    <t>510992F53B0A7B40</t>
  </si>
  <si>
    <t>fujikawa</t>
  </si>
  <si>
    <t>shininchi</t>
  </si>
  <si>
    <t>F194D5B468F78572</t>
  </si>
  <si>
    <t>shinihci</t>
  </si>
  <si>
    <t>102-3</t>
  </si>
  <si>
    <t>2AA708D415FA7043</t>
  </si>
  <si>
    <t>若さ</t>
  </si>
  <si>
    <t>Japanese Festival</t>
  </si>
  <si>
    <t>4DCA29AFD35492F7</t>
  </si>
  <si>
    <t>中目黒</t>
  </si>
  <si>
    <t>ShopCard.me - iPhoneケース</t>
  </si>
  <si>
    <t>行ラベル</t>
  </si>
  <si>
    <t>総計</t>
  </si>
  <si>
    <t>合計 / 合計金額</t>
  </si>
  <si>
    <t>最大値 / 送料</t>
  </si>
  <si>
    <t>送料</t>
    <rPh sb="0" eb="2">
      <t>ソウリョウ</t>
    </rPh>
    <phoneticPr fontId="1"/>
  </si>
  <si>
    <t>countif</t>
    <phoneticPr fontId="1"/>
  </si>
  <si>
    <t>id</t>
    <phoneticPr fontId="1"/>
  </si>
  <si>
    <t>トータル</t>
    <phoneticPr fontId="1"/>
  </si>
  <si>
    <t>個数</t>
    <rPh sb="0" eb="2">
      <t>コスウ</t>
    </rPh>
    <phoneticPr fontId="1"/>
  </si>
  <si>
    <t>金額</t>
    <rPh sb="0" eb="2">
      <t>キンガク</t>
    </rPh>
    <phoneticPr fontId="1"/>
  </si>
  <si>
    <t>ⅡⅡⅡxxx</t>
  </si>
  <si>
    <t>ⅡⅡⅡddd</t>
  </si>
  <si>
    <t>納　品　書</t>
    <rPh sb="0" eb="1">
      <t>オサム</t>
    </rPh>
    <rPh sb="2" eb="3">
      <t>シナ</t>
    </rPh>
    <phoneticPr fontId="1"/>
  </si>
  <si>
    <t>品目</t>
    <phoneticPr fontId="1"/>
  </si>
  <si>
    <t>単価</t>
    <phoneticPr fontId="1"/>
  </si>
  <si>
    <t>数量</t>
    <phoneticPr fontId="1"/>
  </si>
  <si>
    <t>小計</t>
    <phoneticPr fontId="1"/>
  </si>
  <si>
    <t>合計</t>
    <phoneticPr fontId="1"/>
  </si>
  <si>
    <t>注文ID</t>
    <rPh sb="0" eb="2">
      <t>チュウモン</t>
    </rPh>
    <phoneticPr fontId="1"/>
  </si>
  <si>
    <t>注文日</t>
    <rPh sb="0" eb="3">
      <t>チュウモンビ</t>
    </rPh>
    <phoneticPr fontId="1"/>
  </si>
  <si>
    <t>様</t>
    <rPh sb="0" eb="1">
      <t>サマ</t>
    </rPh>
    <phoneticPr fontId="1"/>
  </si>
  <si>
    <t>Tel:</t>
    <phoneticPr fontId="1"/>
  </si>
  <si>
    <t>Mail:</t>
    <phoneticPr fontId="1"/>
  </si>
  <si>
    <t>合計金額</t>
    <rPh sb="0" eb="2">
      <t>ゴウケイ</t>
    </rPh>
    <rPh sb="2" eb="4">
      <t>キンガク</t>
    </rPh>
    <phoneticPr fontId="1"/>
  </si>
  <si>
    <t>この度は、当ショップで商品をお買い求めいただき誠にありがとうございます。下記の通り納品いたします。
内容をご確認の上、お気づきの点がございましたら、お手数ですが当ショップまでご一報くださいますようお願い申し上げます。</t>
    <phoneticPr fontId="1"/>
  </si>
  <si>
    <t>小計（税込）</t>
    <rPh sb="0" eb="2">
      <t>ショウケイ</t>
    </rPh>
    <rPh sb="3" eb="5">
      <t>ゼイコ</t>
    </rPh>
    <phoneticPr fontId="1"/>
  </si>
  <si>
    <t>The ShopCard.me shop!</t>
    <phoneticPr fontId="1"/>
  </si>
  <si>
    <t>１－４－２２－３０２</t>
  </si>
  <si>
    <t>(空白)</t>
  </si>
  <si>
    <t>111-1111</t>
    <phoneticPr fontId="1"/>
  </si>
  <si>
    <t>111-1112</t>
  </si>
  <si>
    <t>111-1113</t>
  </si>
  <si>
    <t>111-1114</t>
  </si>
  <si>
    <t>111-1115</t>
  </si>
  <si>
    <t>111-1116</t>
  </si>
  <si>
    <t>111-1117</t>
  </si>
  <si>
    <t>111-1118</t>
  </si>
  <si>
    <t>111-1119</t>
  </si>
  <si>
    <t>111-1120</t>
  </si>
  <si>
    <t>111-1121</t>
  </si>
  <si>
    <t>111-1122</t>
  </si>
  <si>
    <t>111-1123</t>
  </si>
  <si>
    <t>111-1124</t>
  </si>
  <si>
    <t>111-1125</t>
  </si>
  <si>
    <t>111-1126</t>
  </si>
  <si>
    <t>111-1127</t>
  </si>
  <si>
    <t>111-1128</t>
  </si>
  <si>
    <t>111-1129</t>
  </si>
  <si>
    <t>111-1130</t>
  </si>
  <si>
    <t>111-1131</t>
  </si>
  <si>
    <t>111-1132</t>
  </si>
  <si>
    <t>111-1133</t>
  </si>
  <si>
    <t>111-1134</t>
  </si>
  <si>
    <t>111-1135</t>
  </si>
  <si>
    <t>111-1136</t>
  </si>
  <si>
    <t>111-1137</t>
  </si>
  <si>
    <t>111-1138</t>
  </si>
  <si>
    <t>111-1139</t>
  </si>
  <si>
    <t>111-1140</t>
  </si>
  <si>
    <t>111-1141</t>
  </si>
  <si>
    <t>111-1142</t>
  </si>
  <si>
    <t>111-1143</t>
  </si>
  <si>
    <t>111-1144</t>
  </si>
  <si>
    <t>111-1145</t>
  </si>
  <si>
    <t>111-1146</t>
  </si>
  <si>
    <t>111-1147</t>
  </si>
  <si>
    <t>111-1148</t>
  </si>
  <si>
    <t>111-1149</t>
  </si>
  <si>
    <t>111-1150</t>
  </si>
  <si>
    <t>111-1151</t>
  </si>
  <si>
    <t>111-1152</t>
  </si>
  <si>
    <t>111-1153</t>
  </si>
  <si>
    <t>111-1154</t>
  </si>
  <si>
    <t>111-1155</t>
  </si>
  <si>
    <t>111-1156</t>
  </si>
  <si>
    <t>111-1157</t>
  </si>
  <si>
    <t>111-1158</t>
  </si>
  <si>
    <t>111-1159</t>
  </si>
  <si>
    <t>111-1160</t>
  </si>
  <si>
    <t>111-1161</t>
  </si>
  <si>
    <t>111-1162</t>
  </si>
  <si>
    <t>111-1163</t>
  </si>
  <si>
    <t>111-1164</t>
  </si>
  <si>
    <t>111-1165</t>
  </si>
  <si>
    <t>111-1166</t>
  </si>
  <si>
    <t>111-1167</t>
  </si>
  <si>
    <t>111-1168</t>
  </si>
  <si>
    <t>111-1169</t>
  </si>
  <si>
    <t>111-1170</t>
  </si>
  <si>
    <t>111-1171</t>
  </si>
  <si>
    <t>111-1172</t>
  </si>
  <si>
    <t>111-1173</t>
  </si>
  <si>
    <t>111-1174</t>
  </si>
  <si>
    <t>111-1175</t>
  </si>
  <si>
    <t>111-1176</t>
  </si>
  <si>
    <t>111-1177</t>
  </si>
  <si>
    <t>111-1178</t>
  </si>
  <si>
    <t>111-1179</t>
  </si>
  <si>
    <t>111-1180</t>
  </si>
  <si>
    <t>111-1181</t>
  </si>
  <si>
    <t>111-1182</t>
  </si>
  <si>
    <t>111-1183</t>
  </si>
  <si>
    <t>111-1184</t>
  </si>
  <si>
    <t>111-1185</t>
  </si>
  <si>
    <t>111-1186</t>
  </si>
  <si>
    <t>111-1187</t>
  </si>
  <si>
    <t>111-1188</t>
  </si>
  <si>
    <t>111-1189</t>
  </si>
  <si>
    <t>111-1190</t>
  </si>
  <si>
    <t>111-1191</t>
  </si>
  <si>
    <t>111-1192</t>
  </si>
  <si>
    <t>111-1193</t>
  </si>
  <si>
    <t>111-1194</t>
  </si>
  <si>
    <t>111-1195</t>
  </si>
  <si>
    <t>111-1196</t>
  </si>
  <si>
    <t>111-1197</t>
  </si>
  <si>
    <t>111-1198</t>
  </si>
  <si>
    <t>111-1199</t>
  </si>
  <si>
    <t>111-1200</t>
  </si>
  <si>
    <t>111-1201</t>
  </si>
  <si>
    <t>111-1202</t>
  </si>
  <si>
    <t>111-1203</t>
  </si>
  <si>
    <t>111-1204</t>
  </si>
  <si>
    <t>111-1205</t>
  </si>
  <si>
    <t>111-1206</t>
  </si>
  <si>
    <t>111-1207</t>
  </si>
  <si>
    <t>111-1208</t>
  </si>
  <si>
    <t>111-1209</t>
  </si>
  <si>
    <t>111-1210</t>
  </si>
  <si>
    <t>1-1-201</t>
    <phoneticPr fontId="1"/>
  </si>
  <si>
    <t>1-1-202</t>
  </si>
  <si>
    <t>1-1-203</t>
  </si>
  <si>
    <t>1-1-204</t>
  </si>
  <si>
    <t>1-1-205</t>
  </si>
  <si>
    <t>1-1-206</t>
  </si>
  <si>
    <t>1-1-207</t>
  </si>
  <si>
    <t>1-1-208</t>
  </si>
  <si>
    <t>1-1-209</t>
  </si>
  <si>
    <t>1-1-210</t>
  </si>
  <si>
    <t>1-1-211</t>
  </si>
  <si>
    <t>1-1-212</t>
  </si>
  <si>
    <t>1-1-213</t>
  </si>
  <si>
    <t>1-1-214</t>
  </si>
  <si>
    <t>1-1-215</t>
  </si>
  <si>
    <t>1-1-216</t>
  </si>
  <si>
    <t>1-1-217</t>
  </si>
  <si>
    <t>1-1-218</t>
  </si>
  <si>
    <t>1-1-219</t>
  </si>
  <si>
    <t>1-1-220</t>
  </si>
  <si>
    <t>1-1-221</t>
  </si>
  <si>
    <t>1-1-222</t>
  </si>
  <si>
    <t>1-1-223</t>
  </si>
  <si>
    <t>1-1-224</t>
  </si>
  <si>
    <t>1-1-225</t>
  </si>
  <si>
    <t>1-1-226</t>
  </si>
  <si>
    <t>1-1-227</t>
  </si>
  <si>
    <t>1-1-228</t>
  </si>
  <si>
    <t>1-1-229</t>
  </si>
  <si>
    <t>1-1-230</t>
  </si>
  <si>
    <t>1-1-231</t>
  </si>
  <si>
    <t>1-1-232</t>
  </si>
  <si>
    <t>1-1-233</t>
  </si>
  <si>
    <t>1-1-234</t>
  </si>
  <si>
    <t>1-1-235</t>
  </si>
  <si>
    <t>1-1-236</t>
  </si>
  <si>
    <t>1-1-237</t>
  </si>
  <si>
    <t>1-1-238</t>
  </si>
  <si>
    <t>1-1-239</t>
  </si>
  <si>
    <t>1-1-240</t>
  </si>
  <si>
    <t>1-1-241</t>
  </si>
  <si>
    <t>1-1-242</t>
  </si>
  <si>
    <t>1-1-243</t>
  </si>
  <si>
    <t>1-1-244</t>
  </si>
  <si>
    <t>1-1-245</t>
  </si>
  <si>
    <t>1-1-246</t>
  </si>
  <si>
    <t>1-1-247</t>
  </si>
  <si>
    <t>1-1-248</t>
  </si>
  <si>
    <t>1-1-249</t>
  </si>
  <si>
    <t>1-1-250</t>
  </si>
  <si>
    <t>1-1-251</t>
  </si>
  <si>
    <t>1-1-252</t>
  </si>
  <si>
    <t>1-1-253</t>
  </si>
  <si>
    <t>1-1-254</t>
  </si>
  <si>
    <t>1-1-255</t>
  </si>
  <si>
    <t>1-1-256</t>
  </si>
  <si>
    <t>1-1-257</t>
  </si>
  <si>
    <t>1-1-258</t>
  </si>
  <si>
    <t>1-1-259</t>
  </si>
  <si>
    <t>1-1-260</t>
  </si>
  <si>
    <t>1-1-261</t>
  </si>
  <si>
    <t>1-1-262</t>
  </si>
  <si>
    <t>1-1-263</t>
  </si>
  <si>
    <t>1-1-264</t>
  </si>
  <si>
    <t>1-1-265</t>
  </si>
  <si>
    <t>1-1-266</t>
  </si>
  <si>
    <t>1-1-267</t>
  </si>
  <si>
    <t>1-1-268</t>
  </si>
  <si>
    <t>1-1-269</t>
  </si>
  <si>
    <t>1-1-270</t>
  </si>
  <si>
    <t>1-1-271</t>
  </si>
  <si>
    <t>1-1-272</t>
  </si>
  <si>
    <t>1-1-273</t>
  </si>
  <si>
    <t>1-1-274</t>
  </si>
  <si>
    <t>1-1-275</t>
  </si>
  <si>
    <t>1-1-276</t>
  </si>
  <si>
    <t>1-1-277</t>
  </si>
  <si>
    <t>1-1-278</t>
  </si>
  <si>
    <t>1-1-279</t>
  </si>
  <si>
    <t>1-1-280</t>
  </si>
  <si>
    <t>1-1-281</t>
  </si>
  <si>
    <t>1-1-282</t>
  </si>
  <si>
    <t>1-1-283</t>
  </si>
  <si>
    <t>1-1-284</t>
  </si>
  <si>
    <t>1-1-285</t>
  </si>
  <si>
    <t>1-1-286</t>
  </si>
  <si>
    <t>1-1-287</t>
  </si>
  <si>
    <t>1-1-288</t>
  </si>
  <si>
    <t>1-1-289</t>
  </si>
  <si>
    <t>1-1-290</t>
  </si>
  <si>
    <t>1-1-291</t>
  </si>
  <si>
    <t>1-1-292</t>
  </si>
  <si>
    <t>1-1-293</t>
  </si>
  <si>
    <t>1-1-294</t>
  </si>
  <si>
    <t>1-1-295</t>
  </si>
  <si>
    <t>1-1-296</t>
  </si>
  <si>
    <t>1-1-297</t>
  </si>
  <si>
    <t>1-1-298</t>
  </si>
  <si>
    <t>1-1-299</t>
  </si>
  <si>
    <t>1-1-300</t>
  </si>
  <si>
    <t>999-9999-9999</t>
  </si>
  <si>
    <t>999-9999-10000</t>
  </si>
  <si>
    <t>999-9999-10001</t>
  </si>
  <si>
    <t>999-9999-10002</t>
  </si>
  <si>
    <t>999-9999-10003</t>
  </si>
  <si>
    <t>999-9999-10004</t>
  </si>
  <si>
    <t>999-9999-10005</t>
  </si>
  <si>
    <t>999-9999-10006</t>
  </si>
  <si>
    <t>999-9999-10007</t>
  </si>
  <si>
    <t>999-9999-10008</t>
  </si>
  <si>
    <t>999-9999-10009</t>
  </si>
  <si>
    <t>999-9999-10010</t>
  </si>
  <si>
    <t>999-9999-10011</t>
  </si>
  <si>
    <t>999-9999-10012</t>
  </si>
  <si>
    <t>999-9999-10013</t>
  </si>
  <si>
    <t>999-9999-10014</t>
  </si>
  <si>
    <t>999-9999-10015</t>
  </si>
  <si>
    <t>999-9999-10016</t>
  </si>
  <si>
    <t>999-9999-10017</t>
  </si>
  <si>
    <t>999-9999-10018</t>
  </si>
  <si>
    <t>999-9999-10019</t>
  </si>
  <si>
    <t>999-9999-10020</t>
  </si>
  <si>
    <t>999-9999-10021</t>
  </si>
  <si>
    <t>999-9999-10022</t>
  </si>
  <si>
    <t>999-9999-10023</t>
  </si>
  <si>
    <t>999-9999-10024</t>
  </si>
  <si>
    <t>999-9999-10025</t>
  </si>
  <si>
    <t>999-9999-10026</t>
  </si>
  <si>
    <t>999-9999-10027</t>
  </si>
  <si>
    <t>999-9999-10028</t>
  </si>
  <si>
    <t>999-9999-10029</t>
  </si>
  <si>
    <t>999-9999-10030</t>
  </si>
  <si>
    <t>999-9999-10031</t>
  </si>
  <si>
    <t>999-9999-10032</t>
  </si>
  <si>
    <t>999-9999-10033</t>
  </si>
  <si>
    <t>999-9999-10034</t>
  </si>
  <si>
    <t>999-9999-10035</t>
  </si>
  <si>
    <t>999-9999-10036</t>
  </si>
  <si>
    <t>999-9999-10037</t>
  </si>
  <si>
    <t>999-9999-10038</t>
  </si>
  <si>
    <t>999-9999-10039</t>
  </si>
  <si>
    <t>999-9999-10040</t>
  </si>
  <si>
    <t>999-9999-10041</t>
  </si>
  <si>
    <t>999-9999-10042</t>
  </si>
  <si>
    <t>999-9999-10043</t>
  </si>
  <si>
    <t>999-9999-10044</t>
  </si>
  <si>
    <t>999-9999-10045</t>
  </si>
  <si>
    <t>999-9999-10046</t>
  </si>
  <si>
    <t>999-9999-10047</t>
  </si>
  <si>
    <t>999-9999-10048</t>
  </si>
  <si>
    <t>999-9999-10049</t>
  </si>
  <si>
    <t>999-9999-10050</t>
  </si>
  <si>
    <t>999-9999-10051</t>
  </si>
  <si>
    <t>999-9999-10052</t>
  </si>
  <si>
    <t>999-9999-10053</t>
  </si>
  <si>
    <t>999-9999-10054</t>
  </si>
  <si>
    <t>999-9999-10055</t>
  </si>
  <si>
    <t>999-9999-10056</t>
  </si>
  <si>
    <t>999-9999-10057</t>
  </si>
  <si>
    <t>999-9999-10058</t>
  </si>
  <si>
    <t>999-9999-10059</t>
  </si>
  <si>
    <t>999-9999-10060</t>
  </si>
  <si>
    <t>999-9999-10061</t>
  </si>
  <si>
    <t>999-9999-10062</t>
  </si>
  <si>
    <t>999-9999-10063</t>
  </si>
  <si>
    <t>999-9999-10064</t>
  </si>
  <si>
    <t>999-9999-10065</t>
  </si>
  <si>
    <t>999-9999-10066</t>
  </si>
  <si>
    <t>999-9999-10067</t>
  </si>
  <si>
    <t>999-9999-10068</t>
  </si>
  <si>
    <t>999-9999-10069</t>
  </si>
  <si>
    <t>999-9999-10070</t>
  </si>
  <si>
    <t>999-9999-10071</t>
  </si>
  <si>
    <t>999-9999-10072</t>
  </si>
  <si>
    <t>999-9999-10073</t>
  </si>
  <si>
    <t>999-9999-10074</t>
  </si>
  <si>
    <t>999-9999-10075</t>
  </si>
  <si>
    <t>999-9999-10076</t>
  </si>
  <si>
    <t>999-9999-10077</t>
  </si>
  <si>
    <t>999-9999-10078</t>
  </si>
  <si>
    <t>999-9999-10079</t>
  </si>
  <si>
    <t>999-9999-9980</t>
    <phoneticPr fontId="1"/>
  </si>
  <si>
    <t>999-9999-9981</t>
  </si>
  <si>
    <t>999-9999-9982</t>
  </si>
  <si>
    <t>999-9999-9983</t>
  </si>
  <si>
    <t>999-9999-9984</t>
  </si>
  <si>
    <t>999-9999-9985</t>
  </si>
  <si>
    <t>999-9999-9986</t>
  </si>
  <si>
    <t>999-9999-9987</t>
  </si>
  <si>
    <t>999-9999-9988</t>
  </si>
  <si>
    <t>999-9999-9989</t>
  </si>
  <si>
    <t>999-9999-9990</t>
  </si>
  <si>
    <t>999-9999-9991</t>
  </si>
  <si>
    <t>999-9999-9992</t>
  </si>
  <si>
    <t>999-9999-9993</t>
  </si>
  <si>
    <t>999-9999-9994</t>
  </si>
  <si>
    <t>999-9999-9995</t>
  </si>
  <si>
    <t>999-9999-9996</t>
  </si>
  <si>
    <t>999-9999-9997</t>
  </si>
  <si>
    <t>999-9999-9998</t>
  </si>
  <si>
    <t>hoge@hoge.com</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</si>
</sst>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Red]&quot;¥&quot;\-#,##0"/>
    <numFmt numFmtId="176" formatCode="[$-F800]dddd\,\ mmmm\ dd\,\ yyyy"/>
    <numFmt numFmtId="177" formatCode="&quot;¥&quot;#,##0\-_ ;&quot;¥&quot;\-#,##0\-_ ;_ &quot;¥&quot;* &quot;-&quot;_ ;_ @_ "/>
  </numFmts>
  <fonts count="19">
    <font>
      <sz val="12"/>
      <color theme="1"/>
      <name val="Yu Gothic"/>
      <family val="2"/>
      <charset val="128"/>
      <scheme val="minor"/>
    </font>
    <font>
      <sz val="6"/>
      <name val="Yu Gothic"/>
      <family val="2"/>
      <charset val="128"/>
      <scheme val="minor"/>
    </font>
    <font>
      <u/>
      <sz val="12"/>
      <color theme="10"/>
      <name val="Yu Gothic"/>
      <family val="2"/>
      <charset val="128"/>
      <scheme val="minor"/>
    </font>
    <font>
      <b/>
      <sz val="14"/>
      <color rgb="FFFF0000"/>
      <name val="メイリオ"/>
      <family val="3"/>
      <charset val="128"/>
    </font>
    <font>
      <sz val="12"/>
      <color theme="1"/>
      <name val="Yu Gothic"/>
      <family val="2"/>
      <charset val="128"/>
      <scheme val="minor"/>
    </font>
    <font>
      <sz val="14"/>
      <color theme="1"/>
      <name val="Yu Gothic Light"/>
      <family val="2"/>
      <charset val="128"/>
      <scheme val="major"/>
    </font>
    <font>
      <sz val="24"/>
      <color theme="1"/>
      <name val="Yu Gothic Light"/>
      <family val="2"/>
      <charset val="128"/>
      <scheme val="major"/>
    </font>
    <font>
      <sz val="11"/>
      <color theme="1"/>
      <name val="Yu Gothic Light"/>
      <family val="2"/>
      <charset val="128"/>
      <scheme val="major"/>
    </font>
    <font>
      <sz val="18"/>
      <color theme="1"/>
      <name val="Yu Gothic Light"/>
      <family val="2"/>
      <charset val="128"/>
      <scheme val="major"/>
    </font>
    <font>
      <sz val="28"/>
      <color theme="1"/>
      <name val="Yu Gothic Light"/>
      <family val="3"/>
      <charset val="128"/>
      <scheme val="major"/>
    </font>
    <font>
      <sz val="14"/>
      <color theme="1"/>
      <name val="Yu Gothic Light"/>
      <family val="3"/>
      <charset val="128"/>
      <scheme val="major"/>
    </font>
    <font>
      <sz val="14"/>
      <color theme="1"/>
      <name val="Yu Gothic Light"/>
      <family val="1"/>
      <charset val="128"/>
      <scheme val="major"/>
    </font>
    <font>
      <sz val="16"/>
      <color theme="1"/>
      <name val="Yu Gothic Light"/>
      <family val="2"/>
      <charset val="128"/>
      <scheme val="major"/>
    </font>
    <font>
      <sz val="16"/>
      <color theme="1"/>
      <name val="Yu Gothic Light"/>
      <family val="1"/>
      <charset val="128"/>
      <scheme val="major"/>
    </font>
    <font>
      <b/>
      <sz val="9"/>
      <color indexed="81"/>
      <name val="ＭＳ Ｐゴシック"/>
      <family val="3"/>
      <charset val="128"/>
    </font>
    <font>
      <sz val="14"/>
      <color theme="0"/>
      <name val="Yu Gothic Light"/>
      <family val="2"/>
      <charset val="128"/>
      <scheme val="major"/>
    </font>
    <font>
      <sz val="9"/>
      <color theme="1"/>
      <name val="Yu Gothic Light"/>
      <family val="2"/>
      <charset val="128"/>
      <scheme val="major"/>
    </font>
    <font>
      <sz val="9"/>
      <color theme="1"/>
      <name val="Yu Gothic Light"/>
      <family val="3"/>
      <charset val="128"/>
      <scheme val="major"/>
    </font>
    <font>
      <sz val="12"/>
      <color theme="1"/>
      <name val="Yu Gothic Light"/>
      <family val="2"/>
      <charset val="128"/>
      <scheme val="major"/>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
    <border>
      <left/>
      <right/>
      <top/>
      <bottom/>
      <diagonal/>
    </border>
    <border>
      <left style="hair">
        <color theme="0"/>
      </left>
      <right style="hair">
        <color theme="0"/>
      </right>
      <top style="hair">
        <color theme="0"/>
      </top>
      <bottom style="hair">
        <color theme="0"/>
      </bottom>
      <diagonal/>
    </border>
  </borders>
  <cellStyleXfs count="3">
    <xf numFmtId="0" fontId="0" fillId="0" borderId="0"/>
    <xf numFmtId="0" fontId="2" fillId="0" borderId="0" applyNumberFormat="0" applyFill="0" applyBorder="0" applyAlignment="0" applyProtection="0"/>
    <xf numFmtId="38" fontId="4" fillId="0" borderId="0" applyFont="0" applyFill="0" applyBorder="0" applyAlignment="0" applyProtection="0">
      <alignment vertical="center"/>
    </xf>
  </cellStyleXfs>
  <cellXfs count="43">
    <xf numFmtId="0" fontId="0" fillId="0" borderId="0" xfId="0"/>
    <xf numFmtId="22"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76" fontId="0" fillId="0" borderId="0" xfId="0" applyNumberFormat="1"/>
    <xf numFmtId="0" fontId="2" fillId="0" borderId="0" xfId="1"/>
    <xf numFmtId="0" fontId="3" fillId="0" borderId="0" xfId="0" applyFont="1"/>
    <xf numFmtId="49" fontId="0" fillId="0" borderId="0" xfId="0" applyNumberFormat="1"/>
    <xf numFmtId="0" fontId="5" fillId="0" borderId="0" xfId="0" applyFont="1" applyAlignment="1">
      <alignment vertical="center"/>
    </xf>
    <xf numFmtId="0" fontId="6" fillId="0" borderId="0" xfId="0" applyFont="1" applyAlignment="1">
      <alignment horizontal="center" vertical="center"/>
    </xf>
    <xf numFmtId="14" fontId="5" fillId="0" borderId="0" xfId="0" applyNumberFormat="1" applyFont="1" applyAlignment="1">
      <alignment horizontal="center" vertical="center"/>
    </xf>
    <xf numFmtId="0" fontId="10" fillId="3" borderId="0" xfId="0" applyFont="1" applyFill="1" applyAlignment="1">
      <alignment horizontal="center" vertical="center"/>
    </xf>
    <xf numFmtId="38" fontId="11" fillId="2" borderId="1" xfId="2" applyFont="1" applyFill="1" applyBorder="1" applyAlignment="1">
      <alignment horizontal="right" vertical="center"/>
    </xf>
    <xf numFmtId="0" fontId="11" fillId="2" borderId="1" xfId="0" applyFont="1" applyFill="1" applyBorder="1" applyAlignment="1">
      <alignment horizontal="right" vertical="center"/>
    </xf>
    <xf numFmtId="38" fontId="11" fillId="2" borderId="1" xfId="2" applyFont="1" applyFill="1" applyBorder="1">
      <alignment vertical="center"/>
    </xf>
    <xf numFmtId="38" fontId="11" fillId="4" borderId="1" xfId="2" applyFont="1" applyFill="1" applyBorder="1" applyAlignment="1">
      <alignment horizontal="right" vertical="center"/>
    </xf>
    <xf numFmtId="0" fontId="11" fillId="4" borderId="1" xfId="0" applyFont="1" applyFill="1" applyBorder="1" applyAlignment="1">
      <alignment horizontal="right" vertical="center"/>
    </xf>
    <xf numFmtId="38" fontId="11" fillId="4" borderId="1" xfId="2" applyFont="1" applyFill="1" applyBorder="1">
      <alignment vertical="center"/>
    </xf>
    <xf numFmtId="0" fontId="8" fillId="0" borderId="0" xfId="0" applyFont="1" applyAlignment="1">
      <alignment vertical="center"/>
    </xf>
    <xf numFmtId="0" fontId="12" fillId="4" borderId="0" xfId="0" applyFont="1" applyFill="1" applyAlignment="1">
      <alignment vertical="center"/>
    </xf>
    <xf numFmtId="6" fontId="13" fillId="4" borderId="0" xfId="0" applyNumberFormat="1" applyFont="1" applyFill="1" applyAlignment="1">
      <alignment vertical="center"/>
    </xf>
    <xf numFmtId="0" fontId="12" fillId="0" borderId="0" xfId="0" applyFont="1" applyAlignment="1">
      <alignment horizontal="right" vertical="center"/>
    </xf>
    <xf numFmtId="9" fontId="13" fillId="0" borderId="0" xfId="0" applyNumberFormat="1" applyFont="1" applyAlignment="1">
      <alignment horizontal="left" vertical="center"/>
    </xf>
    <xf numFmtId="0" fontId="13" fillId="2" borderId="0" xfId="0" applyFont="1" applyFill="1" applyAlignment="1">
      <alignment vertical="center"/>
    </xf>
    <xf numFmtId="6" fontId="13" fillId="2" borderId="0" xfId="0" applyNumberFormat="1" applyFont="1" applyFill="1" applyAlignment="1">
      <alignment vertical="center"/>
    </xf>
    <xf numFmtId="0" fontId="7" fillId="0" borderId="0" xfId="0" applyFont="1" applyAlignment="1">
      <alignment horizontal="right" vertical="center"/>
    </xf>
    <xf numFmtId="0" fontId="1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18" fillId="0" borderId="0" xfId="0" applyNumberFormat="1" applyFont="1" applyAlignment="1">
      <alignment horizontal="center" vertical="center"/>
    </xf>
    <xf numFmtId="0" fontId="6" fillId="0" borderId="0" xfId="0" applyFont="1" applyAlignment="1">
      <alignment horizontal="center" vertical="center"/>
    </xf>
    <xf numFmtId="0" fontId="7" fillId="0" borderId="0" xfId="0" applyFont="1" applyAlignment="1">
      <alignment horizontal="right" vertical="center"/>
    </xf>
    <xf numFmtId="0" fontId="8" fillId="0" borderId="0" xfId="0" applyFont="1" applyAlignment="1">
      <alignment horizontal="center" vertical="center"/>
    </xf>
    <xf numFmtId="0" fontId="5" fillId="2" borderId="0" xfId="0" applyFont="1" applyFill="1" applyAlignment="1">
      <alignment horizontal="center" vertical="center"/>
    </xf>
    <xf numFmtId="177" fontId="9" fillId="2" borderId="0" xfId="0" applyNumberFormat="1" applyFont="1" applyFill="1" applyAlignment="1">
      <alignment horizontal="center" vertical="center"/>
    </xf>
    <xf numFmtId="0" fontId="10" fillId="3" borderId="0" xfId="0" applyFont="1" applyFill="1" applyAlignment="1">
      <alignment horizontal="center" vertical="center"/>
    </xf>
    <xf numFmtId="0" fontId="5" fillId="2" borderId="1" xfId="0" applyFont="1" applyFill="1" applyBorder="1" applyAlignment="1">
      <alignment horizontal="left" vertical="center"/>
    </xf>
    <xf numFmtId="0" fontId="11" fillId="2" borderId="1" xfId="0" applyFont="1" applyFill="1" applyBorder="1" applyAlignment="1">
      <alignment horizontal="left" vertical="center"/>
    </xf>
    <xf numFmtId="0" fontId="11" fillId="4" borderId="1" xfId="0" applyFont="1" applyFill="1" applyBorder="1" applyAlignment="1">
      <alignment horizontal="left" vertical="center"/>
    </xf>
    <xf numFmtId="0" fontId="16" fillId="0" borderId="0" xfId="0" applyFont="1" applyAlignment="1">
      <alignment horizontal="center" vertical="center" wrapText="1"/>
    </xf>
    <xf numFmtId="0" fontId="17" fillId="0" borderId="0" xfId="0" applyFont="1" applyAlignment="1">
      <alignment horizontal="center" vertical="center"/>
    </xf>
  </cellXfs>
  <cellStyles count="3">
    <cellStyle name="ハイパーリンク" xfId="1" builtinId="8"/>
    <cellStyle name="桁区切り" xfId="2" builtinId="6"/>
    <cellStyle name="標準"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藤川真一" refreshedDate="42524.909175347224" createdVersion="6" refreshedVersion="6" minRefreshableVersion="3" recordCount="101">
  <cacheSource type="worksheet">
    <worksheetSource ref="A1:AA1000" sheet="CSV"/>
  </cacheSource>
  <cacheFields count="27">
    <cacheField name="注文ID" numFmtId="0">
      <sharedItems containsBlank="1" count="19">
        <s v="1F49E388FCA97A95"/>
        <s v="515E3C014C0A0D23"/>
        <s v="00CE7C7588D8F5C2"/>
        <s v="9B6C71A3B1C1C2E3"/>
        <s v="C3C146FE4CD2D8D8"/>
        <s v="E483133970132B96"/>
        <s v="F01F147D0F3447BE"/>
        <s v="6D6CA2DF8112B6E6"/>
        <s v="1C5218267981E345"/>
        <s v="93991EC6E33140D0"/>
        <s v="EB2CED3D0E1A7607"/>
        <s v="67CDE974345FA606"/>
        <s v="5E1AEA5E021DDB21"/>
        <s v="054D0D6A07404873"/>
        <s v="510992F53B0A7B40"/>
        <s v="F194D5B468F78572"/>
        <s v="2AA708D415FA7043"/>
        <s v="4DCA29AFD35492F7"/>
        <m/>
      </sharedItems>
    </cacheField>
    <cacheField name="注文日時" numFmtId="0">
      <sharedItems containsNonDate="0" containsDate="1" containsString="0" containsBlank="1" minDate="2014-08-19T18:29:00" maxDate="2016-05-20T21:49:00"/>
    </cacheField>
    <cacheField name="氏(請求先)" numFmtId="0">
      <sharedItems containsBlank="1"/>
    </cacheField>
    <cacheField name="名(請求先)" numFmtId="0">
      <sharedItems containsBlank="1"/>
    </cacheField>
    <cacheField name="郵便番号(請求先)" numFmtId="0">
      <sharedItems containsBlank="1"/>
    </cacheField>
    <cacheField name="都道府県(請求先)" numFmtId="0">
      <sharedItems containsBlank="1"/>
    </cacheField>
    <cacheField name="住所(請求先)" numFmtId="0">
      <sharedItems containsBlank="1"/>
    </cacheField>
    <cacheField name="住所2(請求先)" numFmtId="0">
      <sharedItems containsDate="1" containsBlank="1" containsMixedTypes="1" minDate="2001-01-01T00:00:00" maxDate="2001-02-04T00:00:00"/>
    </cacheField>
    <cacheField name="電話番号(請求先)" numFmtId="0">
      <sharedItems containsBlank="1"/>
    </cacheField>
    <cacheField name="メールアドレス(請求先)" numFmtId="0">
      <sharedItems containsBlank="1"/>
    </cacheField>
    <cacheField name="氏(配送先)" numFmtId="0">
      <sharedItems containsBlank="1"/>
    </cacheField>
    <cacheField name="名(配送先)" numFmtId="0">
      <sharedItems containsBlank="1"/>
    </cacheField>
    <cacheField name="郵便番号(配送先)" numFmtId="0">
      <sharedItems containsBlank="1"/>
    </cacheField>
    <cacheField name="都道府県(配送先)" numFmtId="0">
      <sharedItems containsBlank="1"/>
    </cacheField>
    <cacheField name="住所(配送先)" numFmtId="0">
      <sharedItems containsBlank="1"/>
    </cacheField>
    <cacheField name="住所2(配送先)" numFmtId="0">
      <sharedItems containsDate="1" containsBlank="1" containsMixedTypes="1" minDate="2001-01-01T00:00:00" maxDate="2001-02-04T00:00:00"/>
    </cacheField>
    <cacheField name="電話番号(配送先)" numFmtId="0">
      <sharedItems containsBlank="1"/>
    </cacheField>
    <cacheField name="備考" numFmtId="0">
      <sharedItems containsNonDate="0" containsString="0" containsBlank="1"/>
    </cacheField>
    <cacheField name="商品名" numFmtId="0">
      <sharedItems containsBlank="1"/>
    </cacheField>
    <cacheField name="バリエーション" numFmtId="0">
      <sharedItems containsBlank="1"/>
    </cacheField>
    <cacheField name="価格" numFmtId="0">
      <sharedItems containsString="0" containsBlank="1" containsNumber="1" containsInteger="1" minValue="100" maxValue="2380"/>
    </cacheField>
    <cacheField name="数量" numFmtId="0">
      <sharedItems containsString="0" containsBlank="1" containsNumber="1" containsInteger="1" minValue="1" maxValue="3"/>
    </cacheField>
    <cacheField name="合計金額" numFmtId="0">
      <sharedItems containsString="0" containsBlank="1" containsNumber="1" containsInteger="1" minValue="100" maxValue="7140"/>
    </cacheField>
    <cacheField name="送料" numFmtId="0">
      <sharedItems containsString="0" containsBlank="1" containsNumber="1" containsInteger="1" minValue="0" maxValue="200"/>
    </cacheField>
    <cacheField name="支払い方法" numFmtId="0">
      <sharedItems containsBlank="1"/>
    </cacheField>
    <cacheField name="代引き手数料" numFmtId="0">
      <sharedItems containsNonDate="0" containsString="0" containsBlank="1"/>
    </cacheField>
    <cacheField name="発送状況"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1">
  <r>
    <x v="0"/>
    <d v="2014-08-19T18:29:00"/>
    <s v="藤川"/>
    <s v="真一"/>
    <s v="153-0061"/>
    <s v="東京都"/>
    <s v="目黒区中目黒"/>
    <s v="１－４－２２－３０２"/>
    <s v="080-5020-1874"/>
    <s v="f-shin@milkstand.net"/>
    <s v="藤川"/>
    <s v="真一"/>
    <s v="153-0061"/>
    <s v="東京都"/>
    <s v="目黒区中目黒"/>
    <s v="１－４－２２－３０２"/>
    <s v="080-5020-1874"/>
    <m/>
    <s v="Sunset of Honolulu Beach"/>
    <m/>
    <n v="2380"/>
    <n v="1"/>
    <n v="2380"/>
    <n v="0"/>
    <s v="銀行振込(ご自身の口座)"/>
    <m/>
    <s v="発送済み"/>
  </r>
  <r>
    <x v="1"/>
    <d v="2014-09-30T18:55:00"/>
    <s v="あ"/>
    <s v="い"/>
    <s v="153-0061"/>
    <s v="東京都"/>
    <s v="目黒区中目黒"/>
    <s v="あああ"/>
    <s v="080-5020-1874"/>
    <s v="f-shin@milkstand.net"/>
    <s v="あ"/>
    <s v="い"/>
    <s v="153-0061"/>
    <s v="東京都"/>
    <s v="目黒区中目黒"/>
    <s v="あああ"/>
    <s v="080-5020-1874"/>
    <m/>
    <s v="reserve"/>
    <s v="サイズA"/>
    <n v="100"/>
    <n v="1"/>
    <n v="100"/>
    <n v="0"/>
    <s v="銀行振込(ご自身の口座)"/>
    <m/>
    <s v="発送済み"/>
  </r>
  <r>
    <x v="2"/>
    <d v="2014-10-08T19:25:00"/>
    <s v="藤川"/>
    <s v="シンイチ"/>
    <s v="150-0043"/>
    <s v="東京都"/>
    <s v="渋谷区道玄坂"/>
    <d v="2001-03-04T00:00:00"/>
    <s v="080-5020-1874"/>
    <s v="f-shin@milkstand.net"/>
    <s v="藤川"/>
    <s v="シンイチ"/>
    <s v="150-0043"/>
    <s v="東京都"/>
    <s v="渋谷区道玄坂"/>
    <d v="2001-03-04T00:00:00"/>
    <s v="080-5020-1874"/>
    <m/>
    <s v="リンツショコラ・カフェ　渋谷 reserve"/>
    <m/>
    <n v="100"/>
    <n v="1"/>
    <n v="100"/>
    <n v="0"/>
    <s v="銀行振込(ご自身の口座)"/>
    <m/>
    <s v="未発送"/>
  </r>
  <r>
    <x v="3"/>
    <d v="2015-01-13T19:37:00"/>
    <s v="藤川購入テスト"/>
    <s v="です"/>
    <s v="150-0043"/>
    <s v="東京都"/>
    <s v="渋谷区道玄坂"/>
    <d v="2001-01-01T00:00:00"/>
    <s v="080-5020-1874"/>
    <s v="f-shin@milkstand.net"/>
    <s v="藤川購入テスト"/>
    <s v="です"/>
    <s v="150-0043"/>
    <s v="東京都"/>
    <s v="渋谷区道玄坂"/>
    <d v="2001-01-01T00:00:00"/>
    <s v="080-5020-1874"/>
    <m/>
    <s v="The Modern Honolulu"/>
    <m/>
    <n v="2380"/>
    <n v="1"/>
    <n v="2380"/>
    <n v="0"/>
    <s v="銀行振込(ご自身の口座)"/>
    <m/>
    <s v="未発送"/>
  </r>
  <r>
    <x v="4"/>
    <d v="2015-10-19T21:23:00"/>
    <s v="藤川"/>
    <s v="真一"/>
    <s v="153-0061"/>
    <s v="東京都"/>
    <s v="目黒区中目黒"/>
    <d v="2001-02-01T00:00:00"/>
    <s v="080-5020-1874"/>
    <s v="f-shin@milkstand.net"/>
    <s v="藤川"/>
    <s v="真一"/>
    <s v="153-0061"/>
    <s v="東京都"/>
    <s v="目黒区中目黒"/>
    <d v="2001-02-01T00:00:00"/>
    <s v="080-5020-1874"/>
    <m/>
    <s v="マイルドヤンキーケース"/>
    <m/>
    <n v="2380"/>
    <n v="1"/>
    <n v="2380"/>
    <n v="200"/>
    <s v="銀行振込"/>
    <m/>
    <s v="キャンセル"/>
  </r>
  <r>
    <x v="4"/>
    <d v="2015-10-19T21:23:00"/>
    <s v="藤川"/>
    <s v="真一"/>
    <s v="153-0061"/>
    <s v="東京都"/>
    <s v="目黒区中目黒"/>
    <d v="2001-02-01T00:00:00"/>
    <s v="080-5020-1874"/>
    <s v="f-shin@milkstand.net"/>
    <s v="藤川"/>
    <s v="真一"/>
    <s v="153-0061"/>
    <s v="東京都"/>
    <s v="目黒区中目黒"/>
    <d v="2001-02-01T00:00:00"/>
    <s v="080-5020-1874"/>
    <m/>
    <s v="The Modern Honolulu"/>
    <m/>
    <n v="2380"/>
    <n v="1"/>
    <n v="2380"/>
    <n v="200"/>
    <s v="銀行振込"/>
    <m/>
    <s v="キャンセル"/>
  </r>
  <r>
    <x v="5"/>
    <d v="2015-10-19T21:52:00"/>
    <s v="藤川"/>
    <s v="真一"/>
    <s v="153-0061"/>
    <s v="東京都"/>
    <s v="目黒区中目黒"/>
    <d v="2001-02-03T00:00:00"/>
    <s v="080-5020-1874"/>
    <s v="fujikawa@binc.jp"/>
    <s v="藤川"/>
    <s v="真一"/>
    <s v="153-0061"/>
    <s v="東京都"/>
    <s v="目黒区中目黒"/>
    <d v="2001-02-03T00:00:00"/>
    <s v="080-5020-1874"/>
    <m/>
    <s v="Sunset of Honolulu Beach"/>
    <m/>
    <n v="2380"/>
    <n v="2"/>
    <n v="4760"/>
    <n v="200"/>
    <s v="銀行振込"/>
    <m/>
    <s v="キャンセル"/>
  </r>
  <r>
    <x v="6"/>
    <d v="2015-10-19T21:54:00"/>
    <s v="藤川"/>
    <s v="真一"/>
    <s v="153-0061"/>
    <s v="東京都"/>
    <s v="目黒区中目黒"/>
    <d v="2001-02-03T00:00:00"/>
    <s v="080-5020-1874"/>
    <s v="fujikawa@binc.jp"/>
    <s v="藤川"/>
    <s v="真一"/>
    <s v="153-0061"/>
    <s v="東京都"/>
    <s v="目黒区中目黒"/>
    <d v="2001-02-03T00:00:00"/>
    <s v="080-5020-1874"/>
    <m/>
    <s v="Sunset of Honolulu Beach"/>
    <m/>
    <n v="2380"/>
    <n v="3"/>
    <n v="7140"/>
    <n v="200"/>
    <s v="銀行振込"/>
    <m/>
    <s v="キャンセル"/>
  </r>
  <r>
    <x v="7"/>
    <d v="2015-10-19T21:55:00"/>
    <s v="藤川"/>
    <s v="真一"/>
    <s v="153-0061"/>
    <s v="東京都"/>
    <s v="目黒区中目黒"/>
    <n v="123"/>
    <s v="080-5020-1874"/>
    <s v="fujikawa@binc.jp"/>
    <s v="藤川"/>
    <s v="真一"/>
    <s v="153-0061"/>
    <s v="東京都"/>
    <s v="目黒区中目黒"/>
    <n v="123"/>
    <s v="080-5020-1874"/>
    <m/>
    <s v="Sunset of Honolulu Beach"/>
    <m/>
    <n v="2380"/>
    <n v="2"/>
    <n v="4760"/>
    <n v="200"/>
    <s v="銀行振込"/>
    <m/>
    <s v="キャンセル"/>
  </r>
  <r>
    <x v="8"/>
    <d v="2015-10-19T21:57:00"/>
    <s v="藤川"/>
    <s v="真一"/>
    <s v="153-0061"/>
    <s v="東京都"/>
    <s v="目黒区中目黒"/>
    <d v="2001-02-03T00:00:00"/>
    <s v="080-5020-1874"/>
    <s v="fujikawa@binc.jp"/>
    <s v="藤川"/>
    <s v="真一"/>
    <s v="153-0061"/>
    <s v="東京都"/>
    <s v="目黒区中目黒"/>
    <d v="2001-02-03T00:00:00"/>
    <s v="080-5020-1874"/>
    <m/>
    <s v="Sunset of Honolulu Beach"/>
    <m/>
    <n v="2380"/>
    <n v="1"/>
    <n v="2380"/>
    <n v="200"/>
    <s v="銀行振込"/>
    <m/>
    <s v="キャンセル"/>
  </r>
  <r>
    <x v="9"/>
    <d v="2015-10-19T22:15:00"/>
    <s v="藤川"/>
    <s v="真一"/>
    <s v="153-0043"/>
    <s v="東京都"/>
    <s v="目黒区東山"/>
    <d v="2001-02-03T00:00:00"/>
    <s v="080-5020-1874"/>
    <s v="fujikawa@binc.jp"/>
    <s v="藤川"/>
    <s v="真一"/>
    <s v="153-0043"/>
    <s v="東京都"/>
    <s v="目黒区東山"/>
    <d v="2001-02-03T00:00:00"/>
    <s v="080-5020-1874"/>
    <m/>
    <s v="Sunset of Honolulu Beach"/>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China town in Japan"/>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China town in Japan"/>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マイルドヤンキーケース"/>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The Modern Honolulu"/>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The Modern Honolulu"/>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Route 66"/>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The Modern Honolulu"/>
    <m/>
    <n v="2380"/>
    <n v="1"/>
    <n v="2380"/>
    <n v="200"/>
    <s v="銀行振込"/>
    <m/>
    <s v="キャンセル"/>
  </r>
  <r>
    <x v="16"/>
    <d v="2015-12-27T02:36:00"/>
    <s v="藤川"/>
    <s v="真一"/>
    <s v="153-0061"/>
    <s v="東京都"/>
    <s v="目黒区中目黒"/>
    <s v="若さ"/>
    <s v="080-5020-1874"/>
    <s v="f-shin@milkstand.net"/>
    <s v="藤川"/>
    <s v="真一"/>
    <s v="153-0061"/>
    <s v="東京都"/>
    <s v="目黒区中目黒"/>
    <s v="若さ"/>
    <s v="080-5020-1874"/>
    <m/>
    <s v="Japanese Festival"/>
    <m/>
    <n v="2380"/>
    <n v="1"/>
    <n v="2380"/>
    <n v="200"/>
    <s v="銀行振込"/>
    <m/>
    <s v="キャンセル"/>
  </r>
  <r>
    <x v="17"/>
    <d v="2016-05-20T21:49:00"/>
    <s v="ⅡⅡⅡxxx"/>
    <s v="ⅡⅡⅡddd"/>
    <s v="150-0043"/>
    <s v="東京都"/>
    <s v="渋谷区道玄坂"/>
    <s v="中目黒"/>
    <s v="080-5020-1874"/>
    <s v="fujikawa@binc.jp"/>
    <s v="ⅡⅡⅡxxx"/>
    <s v="ⅡⅡⅡddd"/>
    <s v="150-0043"/>
    <s v="東京都"/>
    <s v="渋谷区道玄坂"/>
    <s v="中目黒"/>
    <s v="080-5020-1874"/>
    <m/>
    <s v="ShopCard.me - iPhoneケース"/>
    <m/>
    <n v="1850"/>
    <n v="1"/>
    <n v="1850"/>
    <n v="200"/>
    <s v="銀行振込"/>
    <m/>
    <s v="キャンセル"/>
  </r>
  <r>
    <x v="0"/>
    <d v="2014-08-19T18:29:00"/>
    <s v="藤川"/>
    <s v="真一"/>
    <s v="153-0061"/>
    <s v="東京都"/>
    <s v="目黒区中目黒"/>
    <s v="１－４－２２－３０２"/>
    <s v="080-5020-1874"/>
    <s v="f-shin@milkstand.net"/>
    <s v="藤川"/>
    <s v="真一"/>
    <s v="153-0061"/>
    <s v="東京都"/>
    <s v="目黒区中目黒"/>
    <s v="１－４－２２－３０２"/>
    <s v="080-5020-1874"/>
    <m/>
    <s v="Sunset of Honolulu Beach"/>
    <m/>
    <n v="2380"/>
    <n v="1"/>
    <n v="2380"/>
    <n v="0"/>
    <s v="銀行振込(ご自身の口座)"/>
    <m/>
    <s v="発送済み"/>
  </r>
  <r>
    <x v="1"/>
    <d v="2014-09-30T18:55:00"/>
    <s v="あ"/>
    <s v="い"/>
    <s v="153-0061"/>
    <s v="東京都"/>
    <s v="目黒区中目黒"/>
    <s v="あああ"/>
    <s v="080-5020-1874"/>
    <s v="f-shin@milkstand.net"/>
    <s v="あ"/>
    <s v="い"/>
    <s v="153-0061"/>
    <s v="東京都"/>
    <s v="目黒区中目黒"/>
    <s v="あああ"/>
    <s v="080-5020-1874"/>
    <m/>
    <s v="reserve"/>
    <s v="サイズA"/>
    <n v="100"/>
    <n v="1"/>
    <n v="100"/>
    <n v="0"/>
    <s v="銀行振込(ご自身の口座)"/>
    <m/>
    <s v="発送済み"/>
  </r>
  <r>
    <x v="2"/>
    <d v="2014-10-08T19:25:00"/>
    <s v="藤川"/>
    <s v="シンイチ"/>
    <s v="150-0043"/>
    <s v="東京都"/>
    <s v="渋谷区道玄坂"/>
    <d v="2001-03-04T00:00:00"/>
    <s v="080-5020-1874"/>
    <s v="f-shin@milkstand.net"/>
    <s v="藤川"/>
    <s v="シンイチ"/>
    <s v="150-0043"/>
    <s v="東京都"/>
    <s v="渋谷区道玄坂"/>
    <d v="2001-03-04T00:00:00"/>
    <s v="080-5020-1874"/>
    <m/>
    <s v="リンツショコラ・カフェ　渋谷 reserve"/>
    <m/>
    <n v="100"/>
    <n v="1"/>
    <n v="100"/>
    <n v="0"/>
    <s v="銀行振込(ご自身の口座)"/>
    <m/>
    <s v="未発送"/>
  </r>
  <r>
    <x v="3"/>
    <d v="2015-01-13T19:37:00"/>
    <s v="藤川購入テスト"/>
    <s v="です"/>
    <s v="150-0043"/>
    <s v="東京都"/>
    <s v="渋谷区道玄坂"/>
    <d v="2001-01-01T00:00:00"/>
    <s v="080-5020-1874"/>
    <s v="f-shin@milkstand.net"/>
    <s v="藤川購入テスト"/>
    <s v="です"/>
    <s v="150-0043"/>
    <s v="東京都"/>
    <s v="渋谷区道玄坂"/>
    <d v="2001-01-01T00:00:00"/>
    <s v="080-5020-1874"/>
    <m/>
    <s v="The Modern Honolulu"/>
    <m/>
    <n v="2380"/>
    <n v="1"/>
    <n v="2380"/>
    <n v="0"/>
    <s v="銀行振込(ご自身の口座)"/>
    <m/>
    <s v="未発送"/>
  </r>
  <r>
    <x v="4"/>
    <d v="2015-10-19T21:23:00"/>
    <s v="藤川"/>
    <s v="真一"/>
    <s v="153-0061"/>
    <s v="東京都"/>
    <s v="目黒区中目黒"/>
    <d v="2001-02-01T00:00:00"/>
    <s v="080-5020-1874"/>
    <s v="f-shin@milkstand.net"/>
    <s v="藤川"/>
    <s v="真一"/>
    <s v="153-0061"/>
    <s v="東京都"/>
    <s v="目黒区中目黒"/>
    <d v="2001-02-01T00:00:00"/>
    <s v="080-5020-1874"/>
    <m/>
    <s v="マイルドヤンキーケース"/>
    <m/>
    <n v="2380"/>
    <n v="1"/>
    <n v="2380"/>
    <n v="200"/>
    <s v="銀行振込"/>
    <m/>
    <s v="キャンセル"/>
  </r>
  <r>
    <x v="4"/>
    <d v="2015-10-19T21:23:00"/>
    <s v="藤川"/>
    <s v="真一"/>
    <s v="153-0061"/>
    <s v="東京都"/>
    <s v="目黒区中目黒"/>
    <d v="2001-02-01T00:00:00"/>
    <s v="080-5020-1874"/>
    <s v="f-shin@milkstand.net"/>
    <s v="藤川"/>
    <s v="真一"/>
    <s v="153-0061"/>
    <s v="東京都"/>
    <s v="目黒区中目黒"/>
    <d v="2001-02-01T00:00:00"/>
    <s v="080-5020-1874"/>
    <m/>
    <s v="The Modern Honolulu"/>
    <m/>
    <n v="2380"/>
    <n v="1"/>
    <n v="2380"/>
    <n v="200"/>
    <s v="銀行振込"/>
    <m/>
    <s v="キャンセル"/>
  </r>
  <r>
    <x v="5"/>
    <d v="2015-10-19T21:52:00"/>
    <s v="藤川"/>
    <s v="真一"/>
    <s v="153-0061"/>
    <s v="東京都"/>
    <s v="目黒区中目黒"/>
    <d v="2001-02-03T00:00:00"/>
    <s v="080-5020-1874"/>
    <s v="fujikawa@binc.jp"/>
    <s v="藤川"/>
    <s v="真一"/>
    <s v="153-0061"/>
    <s v="東京都"/>
    <s v="目黒区中目黒"/>
    <d v="2001-02-03T00:00:00"/>
    <s v="080-5020-1874"/>
    <m/>
    <s v="Sunset of Honolulu Beach"/>
    <m/>
    <n v="2380"/>
    <n v="2"/>
    <n v="4760"/>
    <n v="200"/>
    <s v="銀行振込"/>
    <m/>
    <s v="キャンセル"/>
  </r>
  <r>
    <x v="6"/>
    <d v="2015-10-19T21:54:00"/>
    <s v="藤川"/>
    <s v="真一"/>
    <s v="153-0061"/>
    <s v="東京都"/>
    <s v="目黒区中目黒"/>
    <d v="2001-02-03T00:00:00"/>
    <s v="080-5020-1874"/>
    <s v="fujikawa@binc.jp"/>
    <s v="藤川"/>
    <s v="真一"/>
    <s v="153-0061"/>
    <s v="東京都"/>
    <s v="目黒区中目黒"/>
    <d v="2001-02-03T00:00:00"/>
    <s v="080-5020-1874"/>
    <m/>
    <s v="Sunset of Honolulu Beach"/>
    <m/>
    <n v="2380"/>
    <n v="3"/>
    <n v="7140"/>
    <n v="200"/>
    <s v="銀行振込"/>
    <m/>
    <s v="キャンセル"/>
  </r>
  <r>
    <x v="7"/>
    <d v="2015-10-19T21:55:00"/>
    <s v="藤川"/>
    <s v="真一"/>
    <s v="153-0061"/>
    <s v="東京都"/>
    <s v="目黒区中目黒"/>
    <n v="123"/>
    <s v="080-5020-1874"/>
    <s v="fujikawa@binc.jp"/>
    <s v="藤川"/>
    <s v="真一"/>
    <s v="153-0061"/>
    <s v="東京都"/>
    <s v="目黒区中目黒"/>
    <n v="123"/>
    <s v="080-5020-1874"/>
    <m/>
    <s v="Sunset of Honolulu Beach"/>
    <m/>
    <n v="2380"/>
    <n v="2"/>
    <n v="4760"/>
    <n v="200"/>
    <s v="銀行振込"/>
    <m/>
    <s v="キャンセル"/>
  </r>
  <r>
    <x v="8"/>
    <d v="2015-10-19T21:57:00"/>
    <s v="藤川"/>
    <s v="真一"/>
    <s v="153-0061"/>
    <s v="東京都"/>
    <s v="目黒区中目黒"/>
    <d v="2001-02-03T00:00:00"/>
    <s v="080-5020-1874"/>
    <s v="fujikawa@binc.jp"/>
    <s v="藤川"/>
    <s v="真一"/>
    <s v="153-0061"/>
    <s v="東京都"/>
    <s v="目黒区中目黒"/>
    <d v="2001-02-03T00:00:00"/>
    <s v="080-5020-1874"/>
    <m/>
    <s v="Sunset of Honolulu Beach"/>
    <m/>
    <n v="2380"/>
    <n v="1"/>
    <n v="2380"/>
    <n v="200"/>
    <s v="銀行振込"/>
    <m/>
    <s v="キャンセル"/>
  </r>
  <r>
    <x v="9"/>
    <d v="2015-10-19T22:15:00"/>
    <s v="藤川"/>
    <s v="真一"/>
    <s v="153-0043"/>
    <s v="東京都"/>
    <s v="目黒区東山"/>
    <d v="2001-02-03T00:00:00"/>
    <s v="080-5020-1874"/>
    <s v="fujikawa@binc.jp"/>
    <s v="藤川"/>
    <s v="真一"/>
    <s v="153-0043"/>
    <s v="東京都"/>
    <s v="目黒区東山"/>
    <d v="2001-02-03T00:00:00"/>
    <s v="080-5020-1874"/>
    <m/>
    <s v="Sunset of Honolulu Beach"/>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China town in Japan"/>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China town in Japan"/>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マイルドヤンキーケース"/>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The Modern Honolulu"/>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The Modern Honolulu"/>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Route 66"/>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The Modern Honolulu"/>
    <m/>
    <n v="2380"/>
    <n v="1"/>
    <n v="2380"/>
    <n v="200"/>
    <s v="銀行振込"/>
    <m/>
    <s v="キャンセル"/>
  </r>
  <r>
    <x v="16"/>
    <d v="2015-12-27T02:36:00"/>
    <s v="藤川"/>
    <s v="真一"/>
    <s v="153-0061"/>
    <s v="東京都"/>
    <s v="目黒区中目黒"/>
    <s v="若さ"/>
    <s v="080-5020-1874"/>
    <s v="f-shin@milkstand.net"/>
    <s v="藤川"/>
    <s v="真一"/>
    <s v="153-0061"/>
    <s v="東京都"/>
    <s v="目黒区中目黒"/>
    <s v="若さ"/>
    <s v="080-5020-1874"/>
    <m/>
    <s v="Japanese Festival"/>
    <m/>
    <n v="2380"/>
    <n v="1"/>
    <n v="2380"/>
    <n v="200"/>
    <s v="銀行振込"/>
    <m/>
    <s v="キャンセル"/>
  </r>
  <r>
    <x v="17"/>
    <d v="2016-05-20T21:49:00"/>
    <s v="ⅡⅡⅡxxx"/>
    <s v="ⅡⅡⅡddd"/>
    <s v="150-0043"/>
    <s v="東京都"/>
    <s v="渋谷区道玄坂"/>
    <s v="中目黒"/>
    <s v="080-5020-1874"/>
    <s v="fujikawa@binc.jp"/>
    <s v="ⅡⅡⅡxxx"/>
    <s v="ⅡⅡⅡddd"/>
    <s v="150-0043"/>
    <s v="東京都"/>
    <s v="渋谷区道玄坂"/>
    <s v="中目黒"/>
    <s v="080-5020-1874"/>
    <m/>
    <s v="ShopCard.me - iPhoneケース"/>
    <m/>
    <n v="1850"/>
    <n v="1"/>
    <n v="1850"/>
    <n v="200"/>
    <s v="銀行振込"/>
    <m/>
    <s v="キャンセル"/>
  </r>
  <r>
    <x v="0"/>
    <d v="2014-08-19T18:29:00"/>
    <s v="藤川"/>
    <s v="真一"/>
    <s v="153-0061"/>
    <s v="東京都"/>
    <s v="目黒区中目黒"/>
    <s v="１－４－２２－３０２"/>
    <s v="080-5020-1874"/>
    <s v="f-shin@milkstand.net"/>
    <s v="藤川"/>
    <s v="真一"/>
    <s v="153-0061"/>
    <s v="東京都"/>
    <s v="目黒区中目黒"/>
    <s v="１－４－２２－３０２"/>
    <s v="080-5020-1874"/>
    <m/>
    <s v="Sunset of Honolulu Beach"/>
    <m/>
    <n v="2380"/>
    <n v="1"/>
    <n v="2380"/>
    <n v="0"/>
    <s v="銀行振込(ご自身の口座)"/>
    <m/>
    <s v="発送済み"/>
  </r>
  <r>
    <x v="1"/>
    <d v="2014-09-30T18:55:00"/>
    <s v="あ"/>
    <s v="い"/>
    <s v="153-0061"/>
    <s v="東京都"/>
    <s v="目黒区中目黒"/>
    <s v="あああ"/>
    <s v="080-5020-1874"/>
    <s v="f-shin@milkstand.net"/>
    <s v="あ"/>
    <s v="い"/>
    <s v="153-0061"/>
    <s v="東京都"/>
    <s v="目黒区中目黒"/>
    <s v="あああ"/>
    <s v="080-5020-1874"/>
    <m/>
    <s v="reserve"/>
    <s v="サイズA"/>
    <n v="100"/>
    <n v="1"/>
    <n v="100"/>
    <n v="0"/>
    <s v="銀行振込(ご自身の口座)"/>
    <m/>
    <s v="発送済み"/>
  </r>
  <r>
    <x v="2"/>
    <d v="2014-10-08T19:25:00"/>
    <s v="藤川"/>
    <s v="シンイチ"/>
    <s v="150-0043"/>
    <s v="東京都"/>
    <s v="渋谷区道玄坂"/>
    <d v="2001-03-04T00:00:00"/>
    <s v="080-5020-1874"/>
    <s v="f-shin@milkstand.net"/>
    <s v="藤川"/>
    <s v="シンイチ"/>
    <s v="150-0043"/>
    <s v="東京都"/>
    <s v="渋谷区道玄坂"/>
    <d v="2001-03-04T00:00:00"/>
    <s v="080-5020-1874"/>
    <m/>
    <s v="リンツショコラ・カフェ　渋谷 reserve"/>
    <m/>
    <n v="100"/>
    <n v="1"/>
    <n v="100"/>
    <n v="0"/>
    <s v="銀行振込(ご自身の口座)"/>
    <m/>
    <s v="未発送"/>
  </r>
  <r>
    <x v="3"/>
    <d v="2015-01-13T19:37:00"/>
    <s v="藤川購入テスト"/>
    <s v="です"/>
    <s v="150-0043"/>
    <s v="東京都"/>
    <s v="渋谷区道玄坂"/>
    <d v="2001-01-01T00:00:00"/>
    <s v="080-5020-1874"/>
    <s v="f-shin@milkstand.net"/>
    <s v="藤川購入テスト"/>
    <s v="です"/>
    <s v="150-0043"/>
    <s v="東京都"/>
    <s v="渋谷区道玄坂"/>
    <d v="2001-01-01T00:00:00"/>
    <s v="080-5020-1874"/>
    <m/>
    <s v="The Modern Honolulu"/>
    <m/>
    <n v="2380"/>
    <n v="1"/>
    <n v="2380"/>
    <n v="0"/>
    <s v="銀行振込(ご自身の口座)"/>
    <m/>
    <s v="未発送"/>
  </r>
  <r>
    <x v="4"/>
    <d v="2015-10-19T21:23:00"/>
    <s v="藤川"/>
    <s v="真一"/>
    <s v="153-0061"/>
    <s v="東京都"/>
    <s v="目黒区中目黒"/>
    <d v="2001-02-01T00:00:00"/>
    <s v="080-5020-1874"/>
    <s v="f-shin@milkstand.net"/>
    <s v="藤川"/>
    <s v="真一"/>
    <s v="153-0061"/>
    <s v="東京都"/>
    <s v="目黒区中目黒"/>
    <d v="2001-02-01T00:00:00"/>
    <s v="080-5020-1874"/>
    <m/>
    <s v="マイルドヤンキーケース"/>
    <m/>
    <n v="2380"/>
    <n v="1"/>
    <n v="2380"/>
    <n v="200"/>
    <s v="銀行振込"/>
    <m/>
    <s v="キャンセル"/>
  </r>
  <r>
    <x v="4"/>
    <d v="2015-10-19T21:23:00"/>
    <s v="藤川"/>
    <s v="真一"/>
    <s v="153-0061"/>
    <s v="東京都"/>
    <s v="目黒区中目黒"/>
    <d v="2001-02-01T00:00:00"/>
    <s v="080-5020-1874"/>
    <s v="f-shin@milkstand.net"/>
    <s v="藤川"/>
    <s v="真一"/>
    <s v="153-0061"/>
    <s v="東京都"/>
    <s v="目黒区中目黒"/>
    <d v="2001-02-01T00:00:00"/>
    <s v="080-5020-1874"/>
    <m/>
    <s v="The Modern Honolulu"/>
    <m/>
    <n v="2380"/>
    <n v="1"/>
    <n v="2380"/>
    <n v="200"/>
    <s v="銀行振込"/>
    <m/>
    <s v="キャンセル"/>
  </r>
  <r>
    <x v="5"/>
    <d v="2015-10-19T21:52:00"/>
    <s v="藤川"/>
    <s v="真一"/>
    <s v="153-0061"/>
    <s v="東京都"/>
    <s v="目黒区中目黒"/>
    <d v="2001-02-03T00:00:00"/>
    <s v="080-5020-1874"/>
    <s v="fujikawa@binc.jp"/>
    <s v="藤川"/>
    <s v="真一"/>
    <s v="153-0061"/>
    <s v="東京都"/>
    <s v="目黒区中目黒"/>
    <d v="2001-02-03T00:00:00"/>
    <s v="080-5020-1874"/>
    <m/>
    <s v="Sunset of Honolulu Beach"/>
    <m/>
    <n v="2380"/>
    <n v="2"/>
    <n v="4760"/>
    <n v="200"/>
    <s v="銀行振込"/>
    <m/>
    <s v="キャンセル"/>
  </r>
  <r>
    <x v="6"/>
    <d v="2015-10-19T21:54:00"/>
    <s v="藤川"/>
    <s v="真一"/>
    <s v="153-0061"/>
    <s v="東京都"/>
    <s v="目黒区中目黒"/>
    <d v="2001-02-03T00:00:00"/>
    <s v="080-5020-1874"/>
    <s v="fujikawa@binc.jp"/>
    <s v="藤川"/>
    <s v="真一"/>
    <s v="153-0061"/>
    <s v="東京都"/>
    <s v="目黒区中目黒"/>
    <d v="2001-02-03T00:00:00"/>
    <s v="080-5020-1874"/>
    <m/>
    <s v="Sunset of Honolulu Beach"/>
    <m/>
    <n v="2380"/>
    <n v="3"/>
    <n v="7140"/>
    <n v="200"/>
    <s v="銀行振込"/>
    <m/>
    <s v="キャンセル"/>
  </r>
  <r>
    <x v="7"/>
    <d v="2015-10-19T21:55:00"/>
    <s v="藤川"/>
    <s v="真一"/>
    <s v="153-0061"/>
    <s v="東京都"/>
    <s v="目黒区中目黒"/>
    <n v="123"/>
    <s v="080-5020-1874"/>
    <s v="fujikawa@binc.jp"/>
    <s v="藤川"/>
    <s v="真一"/>
    <s v="153-0061"/>
    <s v="東京都"/>
    <s v="目黒区中目黒"/>
    <n v="123"/>
    <s v="080-5020-1874"/>
    <m/>
    <s v="Sunset of Honolulu Beach"/>
    <m/>
    <n v="2380"/>
    <n v="2"/>
    <n v="4760"/>
    <n v="200"/>
    <s v="銀行振込"/>
    <m/>
    <s v="キャンセル"/>
  </r>
  <r>
    <x v="8"/>
    <d v="2015-10-19T21:57:00"/>
    <s v="藤川"/>
    <s v="真一"/>
    <s v="153-0061"/>
    <s v="東京都"/>
    <s v="目黒区中目黒"/>
    <d v="2001-02-03T00:00:00"/>
    <s v="080-5020-1874"/>
    <s v="fujikawa@binc.jp"/>
    <s v="藤川"/>
    <s v="真一"/>
    <s v="153-0061"/>
    <s v="東京都"/>
    <s v="目黒区中目黒"/>
    <d v="2001-02-03T00:00:00"/>
    <s v="080-5020-1874"/>
    <m/>
    <s v="Sunset of Honolulu Beach"/>
    <m/>
    <n v="2380"/>
    <n v="1"/>
    <n v="2380"/>
    <n v="200"/>
    <s v="銀行振込"/>
    <m/>
    <s v="キャンセル"/>
  </r>
  <r>
    <x v="9"/>
    <d v="2015-10-19T22:15:00"/>
    <s v="藤川"/>
    <s v="真一"/>
    <s v="153-0043"/>
    <s v="東京都"/>
    <s v="目黒区東山"/>
    <d v="2001-02-03T00:00:00"/>
    <s v="080-5020-1874"/>
    <s v="fujikawa@binc.jp"/>
    <s v="藤川"/>
    <s v="真一"/>
    <s v="153-0043"/>
    <s v="東京都"/>
    <s v="目黒区東山"/>
    <d v="2001-02-03T00:00:00"/>
    <s v="080-5020-1874"/>
    <m/>
    <s v="Sunset of Honolulu Beach"/>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China town in Japan"/>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China town in Japan"/>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マイルドヤンキーケース"/>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The Modern Honolulu"/>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The Modern Honolulu"/>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Route 66"/>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The Modern Honolulu"/>
    <m/>
    <n v="2380"/>
    <n v="1"/>
    <n v="2380"/>
    <n v="200"/>
    <s v="銀行振込"/>
    <m/>
    <s v="キャンセル"/>
  </r>
  <r>
    <x v="16"/>
    <d v="2015-12-27T02:36:00"/>
    <s v="藤川"/>
    <s v="真一"/>
    <s v="153-0061"/>
    <s v="東京都"/>
    <s v="目黒区中目黒"/>
    <s v="若さ"/>
    <s v="080-5020-1874"/>
    <s v="f-shin@milkstand.net"/>
    <s v="藤川"/>
    <s v="真一"/>
    <s v="153-0061"/>
    <s v="東京都"/>
    <s v="目黒区中目黒"/>
    <s v="若さ"/>
    <s v="080-5020-1874"/>
    <m/>
    <s v="Japanese Festival"/>
    <m/>
    <n v="2380"/>
    <n v="1"/>
    <n v="2380"/>
    <n v="200"/>
    <s v="銀行振込"/>
    <m/>
    <s v="キャンセル"/>
  </r>
  <r>
    <x v="17"/>
    <d v="2016-05-20T21:49:00"/>
    <s v="ⅡⅡⅡxxx"/>
    <s v="ⅡⅡⅡddd"/>
    <s v="150-0043"/>
    <s v="東京都"/>
    <s v="渋谷区道玄坂"/>
    <s v="中目黒"/>
    <s v="080-5020-1874"/>
    <s v="fujikawa@binc.jp"/>
    <s v="ⅡⅡⅡxxx"/>
    <s v="ⅡⅡⅡddd"/>
    <s v="150-0043"/>
    <s v="東京都"/>
    <s v="渋谷区道玄坂"/>
    <s v="中目黒"/>
    <s v="080-5020-1874"/>
    <m/>
    <s v="ShopCard.me - iPhoneケース"/>
    <m/>
    <n v="1850"/>
    <n v="1"/>
    <n v="1850"/>
    <n v="200"/>
    <s v="銀行振込"/>
    <m/>
    <s v="キャンセル"/>
  </r>
  <r>
    <x v="0"/>
    <d v="2014-08-19T18:29:00"/>
    <s v="藤川"/>
    <s v="真一"/>
    <s v="153-0061"/>
    <s v="東京都"/>
    <s v="目黒区中目黒"/>
    <s v="１－４－２２－３０２"/>
    <s v="080-5020-1874"/>
    <s v="f-shin@milkstand.net"/>
    <s v="藤川"/>
    <s v="真一"/>
    <s v="153-0061"/>
    <s v="東京都"/>
    <s v="目黒区中目黒"/>
    <s v="１－４－２２－３０２"/>
    <s v="080-5020-1874"/>
    <m/>
    <s v="Sunset of Honolulu Beach"/>
    <m/>
    <n v="2380"/>
    <n v="1"/>
    <n v="2380"/>
    <n v="0"/>
    <s v="銀行振込(ご自身の口座)"/>
    <m/>
    <s v="発送済み"/>
  </r>
  <r>
    <x v="1"/>
    <d v="2014-09-30T18:55:00"/>
    <s v="あ"/>
    <s v="い"/>
    <s v="153-0061"/>
    <s v="東京都"/>
    <s v="目黒区中目黒"/>
    <s v="あああ"/>
    <s v="080-5020-1874"/>
    <s v="f-shin@milkstand.net"/>
    <s v="あ"/>
    <s v="い"/>
    <s v="153-0061"/>
    <s v="東京都"/>
    <s v="目黒区中目黒"/>
    <s v="あああ"/>
    <s v="080-5020-1874"/>
    <m/>
    <s v="reserve"/>
    <s v="サイズA"/>
    <n v="100"/>
    <n v="1"/>
    <n v="100"/>
    <n v="0"/>
    <s v="銀行振込(ご自身の口座)"/>
    <m/>
    <s v="発送済み"/>
  </r>
  <r>
    <x v="2"/>
    <d v="2014-10-08T19:25:00"/>
    <s v="藤川"/>
    <s v="シンイチ"/>
    <s v="150-0043"/>
    <s v="東京都"/>
    <s v="渋谷区道玄坂"/>
    <d v="2001-03-04T00:00:00"/>
    <s v="080-5020-1874"/>
    <s v="f-shin@milkstand.net"/>
    <s v="藤川"/>
    <s v="シンイチ"/>
    <s v="150-0043"/>
    <s v="東京都"/>
    <s v="渋谷区道玄坂"/>
    <d v="2001-03-04T00:00:00"/>
    <s v="080-5020-1874"/>
    <m/>
    <s v="リンツショコラ・カフェ　渋谷 reserve"/>
    <m/>
    <n v="100"/>
    <n v="1"/>
    <n v="100"/>
    <n v="0"/>
    <s v="銀行振込(ご自身の口座)"/>
    <m/>
    <s v="未発送"/>
  </r>
  <r>
    <x v="3"/>
    <d v="2015-01-13T19:37:00"/>
    <s v="藤川購入テスト"/>
    <s v="です"/>
    <s v="150-0043"/>
    <s v="東京都"/>
    <s v="渋谷区道玄坂"/>
    <d v="2001-01-01T00:00:00"/>
    <s v="080-5020-1874"/>
    <s v="f-shin@milkstand.net"/>
    <s v="藤川購入テスト"/>
    <s v="です"/>
    <s v="150-0043"/>
    <s v="東京都"/>
    <s v="渋谷区道玄坂"/>
    <d v="2001-01-01T00:00:00"/>
    <s v="080-5020-1874"/>
    <m/>
    <s v="The Modern Honolulu"/>
    <m/>
    <n v="2380"/>
    <n v="1"/>
    <n v="2380"/>
    <n v="0"/>
    <s v="銀行振込(ご自身の口座)"/>
    <m/>
    <s v="未発送"/>
  </r>
  <r>
    <x v="4"/>
    <d v="2015-10-19T21:23:00"/>
    <s v="藤川"/>
    <s v="真一"/>
    <s v="153-0061"/>
    <s v="東京都"/>
    <s v="目黒区中目黒"/>
    <d v="2001-02-01T00:00:00"/>
    <s v="080-5020-1874"/>
    <s v="f-shin@milkstand.net"/>
    <s v="藤川"/>
    <s v="真一"/>
    <s v="153-0061"/>
    <s v="東京都"/>
    <s v="目黒区中目黒"/>
    <d v="2001-02-01T00:00:00"/>
    <s v="080-5020-1874"/>
    <m/>
    <s v="マイルドヤンキーケース"/>
    <m/>
    <n v="2380"/>
    <n v="1"/>
    <n v="2380"/>
    <n v="200"/>
    <s v="銀行振込"/>
    <m/>
    <s v="キャンセル"/>
  </r>
  <r>
    <x v="4"/>
    <d v="2015-10-19T21:23:00"/>
    <s v="藤川"/>
    <s v="真一"/>
    <s v="153-0061"/>
    <s v="東京都"/>
    <s v="目黒区中目黒"/>
    <d v="2001-02-01T00:00:00"/>
    <s v="080-5020-1874"/>
    <s v="f-shin@milkstand.net"/>
    <s v="藤川"/>
    <s v="真一"/>
    <s v="153-0061"/>
    <s v="東京都"/>
    <s v="目黒区中目黒"/>
    <d v="2001-02-01T00:00:00"/>
    <s v="080-5020-1874"/>
    <m/>
    <s v="The Modern Honolulu"/>
    <m/>
    <n v="2380"/>
    <n v="1"/>
    <n v="2380"/>
    <n v="200"/>
    <s v="銀行振込"/>
    <m/>
    <s v="キャンセル"/>
  </r>
  <r>
    <x v="5"/>
    <d v="2015-10-19T21:52:00"/>
    <s v="藤川"/>
    <s v="真一"/>
    <s v="153-0061"/>
    <s v="東京都"/>
    <s v="目黒区中目黒"/>
    <d v="2001-02-03T00:00:00"/>
    <s v="080-5020-1874"/>
    <s v="fujikawa@binc.jp"/>
    <s v="藤川"/>
    <s v="真一"/>
    <s v="153-0061"/>
    <s v="東京都"/>
    <s v="目黒区中目黒"/>
    <d v="2001-02-03T00:00:00"/>
    <s v="080-5020-1874"/>
    <m/>
    <s v="Sunset of Honolulu Beach"/>
    <m/>
    <n v="2380"/>
    <n v="2"/>
    <n v="4760"/>
    <n v="200"/>
    <s v="銀行振込"/>
    <m/>
    <s v="キャンセル"/>
  </r>
  <r>
    <x v="6"/>
    <d v="2015-10-19T21:54:00"/>
    <s v="藤川"/>
    <s v="真一"/>
    <s v="153-0061"/>
    <s v="東京都"/>
    <s v="目黒区中目黒"/>
    <d v="2001-02-03T00:00:00"/>
    <s v="080-5020-1874"/>
    <s v="fujikawa@binc.jp"/>
    <s v="藤川"/>
    <s v="真一"/>
    <s v="153-0061"/>
    <s v="東京都"/>
    <s v="目黒区中目黒"/>
    <d v="2001-02-03T00:00:00"/>
    <s v="080-5020-1874"/>
    <m/>
    <s v="Sunset of Honolulu Beach"/>
    <m/>
    <n v="2380"/>
    <n v="3"/>
    <n v="7140"/>
    <n v="200"/>
    <s v="銀行振込"/>
    <m/>
    <s v="キャンセル"/>
  </r>
  <r>
    <x v="7"/>
    <d v="2015-10-19T21:55:00"/>
    <s v="藤川"/>
    <s v="真一"/>
    <s v="153-0061"/>
    <s v="東京都"/>
    <s v="目黒区中目黒"/>
    <n v="123"/>
    <s v="080-5020-1874"/>
    <s v="fujikawa@binc.jp"/>
    <s v="藤川"/>
    <s v="真一"/>
    <s v="153-0061"/>
    <s v="東京都"/>
    <s v="目黒区中目黒"/>
    <n v="123"/>
    <s v="080-5020-1874"/>
    <m/>
    <s v="Sunset of Honolulu Beach"/>
    <m/>
    <n v="2380"/>
    <n v="2"/>
    <n v="4760"/>
    <n v="200"/>
    <s v="銀行振込"/>
    <m/>
    <s v="キャンセル"/>
  </r>
  <r>
    <x v="8"/>
    <d v="2015-10-19T21:57:00"/>
    <s v="藤川"/>
    <s v="真一"/>
    <s v="153-0061"/>
    <s v="東京都"/>
    <s v="目黒区中目黒"/>
    <d v="2001-02-03T00:00:00"/>
    <s v="080-5020-1874"/>
    <s v="fujikawa@binc.jp"/>
    <s v="藤川"/>
    <s v="真一"/>
    <s v="153-0061"/>
    <s v="東京都"/>
    <s v="目黒区中目黒"/>
    <d v="2001-02-03T00:00:00"/>
    <s v="080-5020-1874"/>
    <m/>
    <s v="Sunset of Honolulu Beach"/>
    <m/>
    <n v="2380"/>
    <n v="1"/>
    <n v="2380"/>
    <n v="200"/>
    <s v="銀行振込"/>
    <m/>
    <s v="キャンセル"/>
  </r>
  <r>
    <x v="9"/>
    <d v="2015-10-19T22:15:00"/>
    <s v="藤川"/>
    <s v="真一"/>
    <s v="153-0043"/>
    <s v="東京都"/>
    <s v="目黒区東山"/>
    <d v="2001-02-03T00:00:00"/>
    <s v="080-5020-1874"/>
    <s v="fujikawa@binc.jp"/>
    <s v="藤川"/>
    <s v="真一"/>
    <s v="153-0043"/>
    <s v="東京都"/>
    <s v="目黒区東山"/>
    <d v="2001-02-03T00:00:00"/>
    <s v="080-5020-1874"/>
    <m/>
    <s v="Sunset of Honolulu Beach"/>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China town in Japan"/>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China town in Japan"/>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マイルドヤンキーケース"/>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The Modern Honolulu"/>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The Modern Honolulu"/>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Route 66"/>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The Modern Honolulu"/>
    <m/>
    <n v="2380"/>
    <n v="1"/>
    <n v="2380"/>
    <n v="200"/>
    <s v="銀行振込"/>
    <m/>
    <s v="キャンセル"/>
  </r>
  <r>
    <x v="16"/>
    <d v="2015-12-27T02:36:00"/>
    <s v="藤川"/>
    <s v="真一"/>
    <s v="153-0061"/>
    <s v="東京都"/>
    <s v="目黒区中目黒"/>
    <s v="若さ"/>
    <s v="080-5020-1874"/>
    <s v="f-shin@milkstand.net"/>
    <s v="藤川"/>
    <s v="真一"/>
    <s v="153-0061"/>
    <s v="東京都"/>
    <s v="目黒区中目黒"/>
    <s v="若さ"/>
    <s v="080-5020-1874"/>
    <m/>
    <s v="Japanese Festival"/>
    <m/>
    <n v="2380"/>
    <n v="1"/>
    <n v="2380"/>
    <n v="200"/>
    <s v="銀行振込"/>
    <m/>
    <s v="キャンセル"/>
  </r>
  <r>
    <x v="17"/>
    <d v="2016-05-20T21:49:00"/>
    <s v="ⅡⅡⅡxxx"/>
    <s v="ⅡⅡⅡddd"/>
    <s v="150-0043"/>
    <s v="東京都"/>
    <s v="渋谷区道玄坂"/>
    <s v="中目黒"/>
    <s v="080-5020-1874"/>
    <s v="fujikawa@binc.jp"/>
    <s v="ⅡⅡⅡxxx"/>
    <s v="ⅡⅡⅡddd"/>
    <s v="150-0043"/>
    <s v="東京都"/>
    <s v="渋谷区道玄坂"/>
    <s v="中目黒"/>
    <s v="080-5020-1874"/>
    <m/>
    <s v="ShopCard.me - iPhoneケース"/>
    <m/>
    <n v="1850"/>
    <n v="1"/>
    <n v="1850"/>
    <n v="200"/>
    <s v="銀行振込"/>
    <m/>
    <s v="キャンセル"/>
  </r>
  <r>
    <x v="18"/>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ピボットテーブル2" cacheId="0" applyNumberFormats="0" applyBorderFormats="0" applyFontFormats="0" applyPatternFormats="0" applyAlignmentFormats="0" applyWidthHeightFormats="1" dataCaption="数値" updatedVersion="6" minRefreshableVersion="3" useAutoFormatting="1" itemPrintTitles="1" createdVersion="4" indent="0" outline="1" outlineData="1" multipleFieldFilters="0">
  <location ref="B3:D23" firstHeaderRow="0" firstDataRow="1" firstDataCol="1"/>
  <pivotFields count="27">
    <pivotField axis="axisRow" showAll="0">
      <items count="20">
        <item x="2"/>
        <item x="13"/>
        <item x="8"/>
        <item x="0"/>
        <item x="16"/>
        <item x="17"/>
        <item x="14"/>
        <item x="1"/>
        <item x="12"/>
        <item x="11"/>
        <item x="7"/>
        <item x="9"/>
        <item x="3"/>
        <item x="4"/>
        <item x="5"/>
        <item x="10"/>
        <item x="6"/>
        <item x="15"/>
        <item x="18"/>
        <item t="default"/>
      </items>
    </pivotField>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s>
  <rowFields count="1">
    <field x="0"/>
  </rowFields>
  <rowItems count="20">
    <i>
      <x/>
    </i>
    <i>
      <x v="1"/>
    </i>
    <i>
      <x v="2"/>
    </i>
    <i>
      <x v="3"/>
    </i>
    <i>
      <x v="4"/>
    </i>
    <i>
      <x v="5"/>
    </i>
    <i>
      <x v="6"/>
    </i>
    <i>
      <x v="7"/>
    </i>
    <i>
      <x v="8"/>
    </i>
    <i>
      <x v="9"/>
    </i>
    <i>
      <x v="10"/>
    </i>
    <i>
      <x v="11"/>
    </i>
    <i>
      <x v="12"/>
    </i>
    <i>
      <x v="13"/>
    </i>
    <i>
      <x v="14"/>
    </i>
    <i>
      <x v="15"/>
    </i>
    <i>
      <x v="16"/>
    </i>
    <i>
      <x v="17"/>
    </i>
    <i>
      <x v="18"/>
    </i>
    <i t="grand">
      <x/>
    </i>
  </rowItems>
  <colFields count="1">
    <field x="-2"/>
  </colFields>
  <colItems count="2">
    <i>
      <x/>
    </i>
    <i i="1">
      <x v="1"/>
    </i>
  </colItems>
  <dataFields count="2">
    <dataField name="合計 / 合計金額" fld="22" baseField="0" baseItem="0"/>
    <dataField name="最大値 / 送料" fld="23" subtotal="max" baseField="0" baseItem="0"/>
  </dataField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fshin2000-20160603 (1)_1" connectionId="1" autoFormatId="20" applyNumberFormats="0" applyBorderFormats="0" applyFontFormats="0" applyPatternFormats="0" applyAlignmentFormats="0" applyWidthHeightFormats="0"/>
</file>

<file path=xl/theme/theme1.xml><?xml version="1.0" encoding="utf-8"?>
<a:theme xmlns:a="http://schemas.openxmlformats.org/drawingml/2006/main" name="ホワイ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hyperlink" Target="mailto:hoge@hoge.com" TargetMode="External"/><Relationship Id="rId1" Type="http://schemas.openxmlformats.org/officeDocument/2006/relationships/hyperlink" Target="mailto:hoge@hoge.com"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C101"/>
  <sheetViews>
    <sheetView topLeftCell="B1" workbookViewId="0">
      <selection activeCell="B4" sqref="B4"/>
    </sheetView>
  </sheetViews>
  <sheetFormatPr defaultColWidth="12.7265625" defaultRowHeight="19.5"/>
  <cols>
    <col min="1" max="1" width="19.26953125" bestFit="1" customWidth="1"/>
    <col min="2" max="2" width="15.86328125" bestFit="1" customWidth="1"/>
    <col min="3" max="3" width="13.81640625" bestFit="1" customWidth="1"/>
    <col min="4" max="4" width="9.54296875" bestFit="1" customWidth="1"/>
    <col min="5" max="6" width="15.2265625" bestFit="1" customWidth="1"/>
    <col min="7" max="7" width="11.90625" bestFit="1" customWidth="1"/>
    <col min="8" max="8" width="19.453125" bestFit="1" customWidth="1"/>
    <col min="9" max="9" width="15.2265625" bestFit="1" customWidth="1"/>
    <col min="10" max="10" width="20.90625" bestFit="1" customWidth="1"/>
    <col min="11" max="11" width="13.81640625" bestFit="1" customWidth="1"/>
    <col min="12" max="12" width="9.54296875" bestFit="1" customWidth="1"/>
    <col min="13" max="14" width="15.2265625" bestFit="1" customWidth="1"/>
    <col min="15" max="15" width="11.90625" bestFit="1" customWidth="1"/>
    <col min="16" max="16" width="19.453125" bestFit="1" customWidth="1"/>
    <col min="17" max="17" width="15.2265625" bestFit="1" customWidth="1"/>
    <col min="18" max="18" width="4.54296875" bestFit="1" customWidth="1"/>
    <col min="19" max="19" width="33.953125" bestFit="1" customWidth="1"/>
    <col min="20" max="20" width="13.81640625" bestFit="1" customWidth="1"/>
    <col min="21" max="21" width="4.90625" bestFit="1" customWidth="1"/>
    <col min="22" max="22" width="4.54296875" bestFit="1" customWidth="1"/>
    <col min="23" max="23" width="8.1796875" bestFit="1" customWidth="1"/>
    <col min="24" max="24" width="4.54296875" bestFit="1" customWidth="1"/>
    <col min="25" max="25" width="20.90625" bestFit="1" customWidth="1"/>
    <col min="26" max="26" width="11.90625" bestFit="1" customWidth="1"/>
    <col min="27" max="27" width="10" bestFit="1" customWidth="1"/>
    <col min="46" max="46" width="33.953125" bestFit="1" customWidth="1"/>
    <col min="56" max="56" width="21.1328125" bestFit="1" customWidth="1"/>
  </cols>
  <sheetData>
    <row r="1" spans="1:55">
      <c r="A1" s="9"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s="9"/>
    </row>
    <row r="2" spans="1:55" ht="22.5">
      <c r="A2" s="9" t="s">
        <v>27</v>
      </c>
      <c r="B2" s="1">
        <v>41870.770138888889</v>
      </c>
      <c r="C2" t="s">
        <v>28</v>
      </c>
      <c r="D2" t="s">
        <v>29</v>
      </c>
      <c r="E2" t="s">
        <v>107</v>
      </c>
      <c r="F2" t="s">
        <v>30</v>
      </c>
      <c r="G2" t="s">
        <v>31</v>
      </c>
      <c r="H2" t="s">
        <v>207</v>
      </c>
      <c r="I2" t="s">
        <v>388</v>
      </c>
      <c r="J2" s="7" t="s">
        <v>407</v>
      </c>
      <c r="K2" t="s">
        <v>28</v>
      </c>
      <c r="L2" t="s">
        <v>29</v>
      </c>
      <c r="M2" t="s">
        <v>107</v>
      </c>
      <c r="N2" t="s">
        <v>30</v>
      </c>
      <c r="O2" t="s">
        <v>31</v>
      </c>
      <c r="P2" t="s">
        <v>105</v>
      </c>
      <c r="Q2" t="s">
        <v>388</v>
      </c>
      <c r="S2" t="s">
        <v>32</v>
      </c>
      <c r="U2">
        <v>2380</v>
      </c>
      <c r="V2">
        <v>1</v>
      </c>
      <c r="W2">
        <v>2380</v>
      </c>
      <c r="X2">
        <v>0</v>
      </c>
      <c r="Y2" t="s">
        <v>33</v>
      </c>
      <c r="AA2" t="s">
        <v>34</v>
      </c>
      <c r="AC2" s="1"/>
      <c r="AK2" s="7"/>
      <c r="BC2" s="8"/>
    </row>
    <row r="3" spans="1:55" ht="22.5">
      <c r="A3" s="9" t="s">
        <v>35</v>
      </c>
      <c r="B3" s="1">
        <v>41912.788194444445</v>
      </c>
      <c r="C3" t="s">
        <v>36</v>
      </c>
      <c r="D3" t="s">
        <v>37</v>
      </c>
      <c r="E3" t="s">
        <v>108</v>
      </c>
      <c r="F3" t="s">
        <v>30</v>
      </c>
      <c r="G3" t="s">
        <v>31</v>
      </c>
      <c r="H3" t="s">
        <v>208</v>
      </c>
      <c r="I3" t="s">
        <v>389</v>
      </c>
      <c r="J3" s="7" t="s">
        <v>407</v>
      </c>
      <c r="K3" t="s">
        <v>36</v>
      </c>
      <c r="L3" t="s">
        <v>37</v>
      </c>
      <c r="M3" t="s">
        <v>108</v>
      </c>
      <c r="N3" t="s">
        <v>30</v>
      </c>
      <c r="O3" t="s">
        <v>31</v>
      </c>
      <c r="P3" t="s">
        <v>38</v>
      </c>
      <c r="Q3" t="s">
        <v>389</v>
      </c>
      <c r="S3" t="s">
        <v>39</v>
      </c>
      <c r="T3" t="s">
        <v>40</v>
      </c>
      <c r="U3">
        <v>100</v>
      </c>
      <c r="V3">
        <v>1</v>
      </c>
      <c r="W3">
        <v>100</v>
      </c>
      <c r="X3">
        <v>0</v>
      </c>
      <c r="Y3" t="s">
        <v>33</v>
      </c>
      <c r="AA3" t="s">
        <v>34</v>
      </c>
      <c r="AC3" s="1"/>
      <c r="AK3" s="7"/>
      <c r="BC3" s="8"/>
    </row>
    <row r="4" spans="1:55" ht="22.5">
      <c r="A4" s="9" t="s">
        <v>41</v>
      </c>
      <c r="B4" s="1">
        <v>41920.809027777781</v>
      </c>
      <c r="C4" t="s">
        <v>28</v>
      </c>
      <c r="D4" t="s">
        <v>42</v>
      </c>
      <c r="E4" t="s">
        <v>109</v>
      </c>
      <c r="F4" t="s">
        <v>30</v>
      </c>
      <c r="G4" t="s">
        <v>43</v>
      </c>
      <c r="H4" t="s">
        <v>209</v>
      </c>
      <c r="I4" t="s">
        <v>390</v>
      </c>
      <c r="J4" s="7" t="s">
        <v>407</v>
      </c>
      <c r="K4" t="s">
        <v>28</v>
      </c>
      <c r="L4" t="s">
        <v>42</v>
      </c>
      <c r="M4" t="s">
        <v>109</v>
      </c>
      <c r="N4" t="s">
        <v>30</v>
      </c>
      <c r="O4" t="s">
        <v>43</v>
      </c>
      <c r="P4" s="2">
        <v>36954</v>
      </c>
      <c r="Q4" t="s">
        <v>390</v>
      </c>
      <c r="S4" t="s">
        <v>44</v>
      </c>
      <c r="U4">
        <v>100</v>
      </c>
      <c r="V4">
        <v>1</v>
      </c>
      <c r="W4">
        <v>100</v>
      </c>
      <c r="X4">
        <v>0</v>
      </c>
      <c r="Y4" t="s">
        <v>33</v>
      </c>
      <c r="AA4" t="s">
        <v>34</v>
      </c>
      <c r="AC4" s="1"/>
      <c r="AI4" s="2"/>
      <c r="AK4" s="7"/>
      <c r="AQ4" s="2"/>
      <c r="BC4" s="8"/>
    </row>
    <row r="5" spans="1:55" ht="22.5">
      <c r="A5" s="9" t="s">
        <v>45</v>
      </c>
      <c r="B5" s="1">
        <v>42017.817361111112</v>
      </c>
      <c r="C5" t="s">
        <v>46</v>
      </c>
      <c r="D5" t="s">
        <v>47</v>
      </c>
      <c r="E5" t="s">
        <v>110</v>
      </c>
      <c r="F5" t="s">
        <v>30</v>
      </c>
      <c r="G5" t="s">
        <v>43</v>
      </c>
      <c r="H5" t="s">
        <v>210</v>
      </c>
      <c r="I5" t="s">
        <v>391</v>
      </c>
      <c r="J5" s="7" t="s">
        <v>407</v>
      </c>
      <c r="K5" t="s">
        <v>46</v>
      </c>
      <c r="L5" t="s">
        <v>47</v>
      </c>
      <c r="M5" t="s">
        <v>110</v>
      </c>
      <c r="N5" t="s">
        <v>30</v>
      </c>
      <c r="O5" t="s">
        <v>43</v>
      </c>
      <c r="P5" s="2">
        <v>36892</v>
      </c>
      <c r="Q5" t="s">
        <v>391</v>
      </c>
      <c r="S5" t="s">
        <v>48</v>
      </c>
      <c r="U5">
        <v>2380</v>
      </c>
      <c r="V5">
        <v>1</v>
      </c>
      <c r="W5">
        <v>2380</v>
      </c>
      <c r="X5">
        <v>0</v>
      </c>
      <c r="Y5" t="s">
        <v>33</v>
      </c>
      <c r="AA5" t="s">
        <v>34</v>
      </c>
      <c r="AC5" s="1"/>
      <c r="AI5" s="2"/>
      <c r="AK5" s="7"/>
      <c r="AQ5" s="2"/>
      <c r="BC5" s="8"/>
    </row>
    <row r="6" spans="1:55" ht="22.5">
      <c r="A6" s="9" t="s">
        <v>49</v>
      </c>
      <c r="B6" s="1">
        <v>42296.890972222223</v>
      </c>
      <c r="C6" t="s">
        <v>28</v>
      </c>
      <c r="D6" t="s">
        <v>29</v>
      </c>
      <c r="E6" t="s">
        <v>111</v>
      </c>
      <c r="F6" t="s">
        <v>30</v>
      </c>
      <c r="G6" t="s">
        <v>31</v>
      </c>
      <c r="H6" t="s">
        <v>211</v>
      </c>
      <c r="I6" t="s">
        <v>392</v>
      </c>
      <c r="J6" s="7" t="s">
        <v>407</v>
      </c>
      <c r="K6" t="s">
        <v>28</v>
      </c>
      <c r="L6" t="s">
        <v>29</v>
      </c>
      <c r="M6" t="s">
        <v>111</v>
      </c>
      <c r="N6" t="s">
        <v>30</v>
      </c>
      <c r="O6" t="s">
        <v>31</v>
      </c>
      <c r="P6" s="2">
        <v>36923</v>
      </c>
      <c r="Q6" t="s">
        <v>392</v>
      </c>
      <c r="S6" t="s">
        <v>50</v>
      </c>
      <c r="U6">
        <v>2380</v>
      </c>
      <c r="V6">
        <v>1</v>
      </c>
      <c r="W6">
        <v>2380</v>
      </c>
      <c r="X6">
        <v>200</v>
      </c>
      <c r="Y6" t="s">
        <v>51</v>
      </c>
      <c r="AA6" t="s">
        <v>34</v>
      </c>
      <c r="AC6" s="1"/>
      <c r="AI6" s="2"/>
      <c r="AK6" s="7"/>
      <c r="AQ6" s="2"/>
      <c r="BC6" s="8"/>
    </row>
    <row r="7" spans="1:55" ht="22.5">
      <c r="A7" s="9" t="s">
        <v>49</v>
      </c>
      <c r="B7" s="1">
        <v>42296.890972222223</v>
      </c>
      <c r="C7" t="s">
        <v>28</v>
      </c>
      <c r="D7" t="s">
        <v>29</v>
      </c>
      <c r="E7" t="s">
        <v>112</v>
      </c>
      <c r="F7" t="s">
        <v>30</v>
      </c>
      <c r="G7" t="s">
        <v>31</v>
      </c>
      <c r="H7" t="s">
        <v>212</v>
      </c>
      <c r="I7" t="s">
        <v>393</v>
      </c>
      <c r="J7" s="7" t="s">
        <v>407</v>
      </c>
      <c r="K7" t="s">
        <v>28</v>
      </c>
      <c r="L7" t="s">
        <v>29</v>
      </c>
      <c r="M7" t="s">
        <v>112</v>
      </c>
      <c r="N7" t="s">
        <v>30</v>
      </c>
      <c r="O7" t="s">
        <v>31</v>
      </c>
      <c r="P7" s="2">
        <v>36923</v>
      </c>
      <c r="Q7" t="s">
        <v>393</v>
      </c>
      <c r="S7" t="s">
        <v>48</v>
      </c>
      <c r="U7">
        <v>2380</v>
      </c>
      <c r="V7">
        <v>1</v>
      </c>
      <c r="W7">
        <v>2380</v>
      </c>
      <c r="X7">
        <v>200</v>
      </c>
      <c r="Y7" t="s">
        <v>51</v>
      </c>
      <c r="AA7" t="s">
        <v>34</v>
      </c>
      <c r="AC7" s="1"/>
      <c r="AI7" s="2"/>
      <c r="AK7" s="7"/>
      <c r="AQ7" s="2"/>
      <c r="BC7" s="8"/>
    </row>
    <row r="8" spans="1:55" ht="22.5">
      <c r="A8" s="9" t="s">
        <v>52</v>
      </c>
      <c r="B8" s="1">
        <v>42296.911111111112</v>
      </c>
      <c r="C8" t="s">
        <v>28</v>
      </c>
      <c r="D8" t="s">
        <v>29</v>
      </c>
      <c r="E8" t="s">
        <v>113</v>
      </c>
      <c r="F8" t="s">
        <v>30</v>
      </c>
      <c r="G8" t="s">
        <v>31</v>
      </c>
      <c r="H8" t="s">
        <v>213</v>
      </c>
      <c r="I8" t="s">
        <v>394</v>
      </c>
      <c r="J8" s="7" t="s">
        <v>407</v>
      </c>
      <c r="K8" t="s">
        <v>28</v>
      </c>
      <c r="L8" t="s">
        <v>29</v>
      </c>
      <c r="M8" t="s">
        <v>113</v>
      </c>
      <c r="N8" t="s">
        <v>30</v>
      </c>
      <c r="O8" t="s">
        <v>31</v>
      </c>
      <c r="P8" s="2">
        <v>36925</v>
      </c>
      <c r="Q8" t="s">
        <v>394</v>
      </c>
      <c r="S8" t="s">
        <v>32</v>
      </c>
      <c r="U8">
        <v>2380</v>
      </c>
      <c r="V8">
        <v>2</v>
      </c>
      <c r="W8">
        <v>4760</v>
      </c>
      <c r="X8">
        <v>200</v>
      </c>
      <c r="Y8" t="s">
        <v>51</v>
      </c>
      <c r="AA8" t="s">
        <v>34</v>
      </c>
      <c r="AC8" s="1"/>
      <c r="AI8" s="2"/>
      <c r="AK8" s="7"/>
      <c r="AQ8" s="2"/>
      <c r="BC8" s="8"/>
    </row>
    <row r="9" spans="1:55" ht="22.5">
      <c r="A9" s="9" t="s">
        <v>53</v>
      </c>
      <c r="B9" s="1">
        <v>42296.912499999999</v>
      </c>
      <c r="C9" t="s">
        <v>28</v>
      </c>
      <c r="D9" t="s">
        <v>29</v>
      </c>
      <c r="E9" t="s">
        <v>114</v>
      </c>
      <c r="F9" t="s">
        <v>30</v>
      </c>
      <c r="G9" t="s">
        <v>31</v>
      </c>
      <c r="H9" t="s">
        <v>214</v>
      </c>
      <c r="I9" t="s">
        <v>395</v>
      </c>
      <c r="J9" s="7" t="s">
        <v>407</v>
      </c>
      <c r="K9" t="s">
        <v>28</v>
      </c>
      <c r="L9" t="s">
        <v>29</v>
      </c>
      <c r="M9" t="s">
        <v>114</v>
      </c>
      <c r="N9" t="s">
        <v>30</v>
      </c>
      <c r="O9" t="s">
        <v>31</v>
      </c>
      <c r="P9" s="2">
        <v>36925</v>
      </c>
      <c r="Q9" t="s">
        <v>395</v>
      </c>
      <c r="S9" t="s">
        <v>32</v>
      </c>
      <c r="U9">
        <v>2380</v>
      </c>
      <c r="V9">
        <v>3</v>
      </c>
      <c r="W9">
        <v>7140</v>
      </c>
      <c r="X9">
        <v>200</v>
      </c>
      <c r="Y9" t="s">
        <v>51</v>
      </c>
      <c r="AA9" t="s">
        <v>34</v>
      </c>
      <c r="AC9" s="1"/>
      <c r="AI9" s="2"/>
      <c r="AK9" s="7"/>
      <c r="AQ9" s="2"/>
      <c r="BC9" s="8"/>
    </row>
    <row r="10" spans="1:55" ht="22.5">
      <c r="A10" s="9" t="s">
        <v>54</v>
      </c>
      <c r="B10" s="1">
        <v>42296.913194444445</v>
      </c>
      <c r="C10" t="s">
        <v>28</v>
      </c>
      <c r="D10" t="s">
        <v>29</v>
      </c>
      <c r="E10" t="s">
        <v>115</v>
      </c>
      <c r="F10" t="s">
        <v>30</v>
      </c>
      <c r="G10" t="s">
        <v>31</v>
      </c>
      <c r="H10" t="s">
        <v>215</v>
      </c>
      <c r="I10" t="s">
        <v>396</v>
      </c>
      <c r="J10" s="7" t="s">
        <v>407</v>
      </c>
      <c r="K10" t="s">
        <v>28</v>
      </c>
      <c r="L10" t="s">
        <v>29</v>
      </c>
      <c r="M10" t="s">
        <v>115</v>
      </c>
      <c r="N10" t="s">
        <v>30</v>
      </c>
      <c r="O10" t="s">
        <v>31</v>
      </c>
      <c r="P10">
        <v>123</v>
      </c>
      <c r="Q10" t="s">
        <v>396</v>
      </c>
      <c r="S10" t="s">
        <v>32</v>
      </c>
      <c r="U10">
        <v>2380</v>
      </c>
      <c r="V10">
        <v>2</v>
      </c>
      <c r="W10">
        <v>4760</v>
      </c>
      <c r="X10">
        <v>200</v>
      </c>
      <c r="Y10" t="s">
        <v>51</v>
      </c>
      <c r="AA10" t="s">
        <v>34</v>
      </c>
      <c r="AC10" s="1"/>
      <c r="AK10" s="7"/>
      <c r="BC10" s="8"/>
    </row>
    <row r="11" spans="1:55" ht="22.5">
      <c r="A11" s="9" t="s">
        <v>55</v>
      </c>
      <c r="B11" s="1">
        <v>42296.914583333331</v>
      </c>
      <c r="C11" t="s">
        <v>28</v>
      </c>
      <c r="D11" t="s">
        <v>29</v>
      </c>
      <c r="E11" t="s">
        <v>116</v>
      </c>
      <c r="F11" t="s">
        <v>30</v>
      </c>
      <c r="G11" t="s">
        <v>31</v>
      </c>
      <c r="H11" t="s">
        <v>216</v>
      </c>
      <c r="I11" t="s">
        <v>397</v>
      </c>
      <c r="J11" s="7" t="s">
        <v>407</v>
      </c>
      <c r="K11" t="s">
        <v>28</v>
      </c>
      <c r="L11" t="s">
        <v>29</v>
      </c>
      <c r="M11" t="s">
        <v>116</v>
      </c>
      <c r="N11" t="s">
        <v>30</v>
      </c>
      <c r="O11" t="s">
        <v>31</v>
      </c>
      <c r="P11" s="2">
        <v>36925</v>
      </c>
      <c r="Q11" t="s">
        <v>397</v>
      </c>
      <c r="S11" t="s">
        <v>32</v>
      </c>
      <c r="U11">
        <v>2380</v>
      </c>
      <c r="V11">
        <v>1</v>
      </c>
      <c r="W11">
        <v>2380</v>
      </c>
      <c r="X11">
        <v>200</v>
      </c>
      <c r="Y11" t="s">
        <v>51</v>
      </c>
      <c r="AA11" t="s">
        <v>34</v>
      </c>
      <c r="AC11" s="1"/>
      <c r="AI11" s="2"/>
      <c r="AK11" s="7"/>
      <c r="AQ11" s="2"/>
      <c r="BC11" s="8"/>
    </row>
    <row r="12" spans="1:55" ht="22.5">
      <c r="A12" s="9" t="s">
        <v>56</v>
      </c>
      <c r="B12" s="1">
        <v>42296.927083333336</v>
      </c>
      <c r="C12" t="s">
        <v>28</v>
      </c>
      <c r="D12" t="s">
        <v>29</v>
      </c>
      <c r="E12" t="s">
        <v>117</v>
      </c>
      <c r="F12" t="s">
        <v>30</v>
      </c>
      <c r="G12" t="s">
        <v>57</v>
      </c>
      <c r="H12" t="s">
        <v>217</v>
      </c>
      <c r="I12" t="s">
        <v>398</v>
      </c>
      <c r="J12" s="7" t="s">
        <v>407</v>
      </c>
      <c r="K12" t="s">
        <v>28</v>
      </c>
      <c r="L12" t="s">
        <v>29</v>
      </c>
      <c r="M12" t="s">
        <v>117</v>
      </c>
      <c r="N12" t="s">
        <v>30</v>
      </c>
      <c r="O12" t="s">
        <v>57</v>
      </c>
      <c r="P12" s="2">
        <v>36925</v>
      </c>
      <c r="Q12" t="s">
        <v>398</v>
      </c>
      <c r="S12" t="s">
        <v>32</v>
      </c>
      <c r="U12">
        <v>2380</v>
      </c>
      <c r="V12">
        <v>1</v>
      </c>
      <c r="W12">
        <v>2380</v>
      </c>
      <c r="X12">
        <v>200</v>
      </c>
      <c r="Y12" t="s">
        <v>51</v>
      </c>
      <c r="AA12" t="s">
        <v>34</v>
      </c>
      <c r="AC12" s="1"/>
      <c r="AI12" s="2"/>
      <c r="AK12" s="7"/>
      <c r="AQ12" s="2"/>
      <c r="BC12" s="8"/>
    </row>
    <row r="13" spans="1:55" ht="22.5">
      <c r="A13" s="9" t="s">
        <v>58</v>
      </c>
      <c r="B13" s="1">
        <v>42296.932638888888</v>
      </c>
      <c r="C13" t="s">
        <v>28</v>
      </c>
      <c r="D13" t="s">
        <v>29</v>
      </c>
      <c r="E13" t="s">
        <v>118</v>
      </c>
      <c r="F13" t="s">
        <v>30</v>
      </c>
      <c r="G13" t="s">
        <v>57</v>
      </c>
      <c r="H13" t="s">
        <v>218</v>
      </c>
      <c r="I13" t="s">
        <v>399</v>
      </c>
      <c r="J13" s="7" t="s">
        <v>407</v>
      </c>
      <c r="K13" t="s">
        <v>28</v>
      </c>
      <c r="L13" t="s">
        <v>29</v>
      </c>
      <c r="M13" t="s">
        <v>118</v>
      </c>
      <c r="N13" t="s">
        <v>30</v>
      </c>
      <c r="O13" t="s">
        <v>57</v>
      </c>
      <c r="P13" s="2">
        <v>36925</v>
      </c>
      <c r="Q13" t="s">
        <v>399</v>
      </c>
      <c r="S13" t="s">
        <v>59</v>
      </c>
      <c r="U13">
        <v>2380</v>
      </c>
      <c r="V13">
        <v>1</v>
      </c>
      <c r="W13">
        <v>2380</v>
      </c>
      <c r="X13">
        <v>200</v>
      </c>
      <c r="Y13" t="s">
        <v>51</v>
      </c>
      <c r="AA13" t="s">
        <v>34</v>
      </c>
      <c r="AC13" s="1"/>
      <c r="AI13" s="2"/>
      <c r="AK13" s="7"/>
      <c r="AQ13" s="2"/>
      <c r="BC13" s="8"/>
    </row>
    <row r="14" spans="1:55" ht="22.5">
      <c r="A14" s="9" t="s">
        <v>58</v>
      </c>
      <c r="B14" s="1">
        <v>42296.932638888888</v>
      </c>
      <c r="C14" t="s">
        <v>28</v>
      </c>
      <c r="D14" t="s">
        <v>29</v>
      </c>
      <c r="E14" t="s">
        <v>119</v>
      </c>
      <c r="F14" t="s">
        <v>30</v>
      </c>
      <c r="G14" t="s">
        <v>57</v>
      </c>
      <c r="H14" t="s">
        <v>219</v>
      </c>
      <c r="I14" t="s">
        <v>400</v>
      </c>
      <c r="J14" s="7" t="s">
        <v>407</v>
      </c>
      <c r="K14" t="s">
        <v>28</v>
      </c>
      <c r="L14" t="s">
        <v>29</v>
      </c>
      <c r="M14" t="s">
        <v>119</v>
      </c>
      <c r="N14" t="s">
        <v>30</v>
      </c>
      <c r="O14" t="s">
        <v>57</v>
      </c>
      <c r="P14" s="2">
        <v>36925</v>
      </c>
      <c r="Q14" t="s">
        <v>400</v>
      </c>
      <c r="S14" t="s">
        <v>60</v>
      </c>
      <c r="U14">
        <v>2380</v>
      </c>
      <c r="V14">
        <v>1</v>
      </c>
      <c r="W14">
        <v>2380</v>
      </c>
      <c r="X14">
        <v>200</v>
      </c>
      <c r="Y14" t="s">
        <v>51</v>
      </c>
      <c r="AA14" t="s">
        <v>34</v>
      </c>
      <c r="AC14" s="1"/>
      <c r="AI14" s="2"/>
      <c r="AK14" s="7"/>
      <c r="AQ14" s="2"/>
      <c r="BC14" s="8"/>
    </row>
    <row r="15" spans="1:55" ht="22.5">
      <c r="A15" s="9" t="s">
        <v>61</v>
      </c>
      <c r="B15" s="1">
        <v>42296.933333333334</v>
      </c>
      <c r="C15" t="s">
        <v>28</v>
      </c>
      <c r="D15" t="s">
        <v>29</v>
      </c>
      <c r="E15" t="s">
        <v>120</v>
      </c>
      <c r="F15" t="s">
        <v>30</v>
      </c>
      <c r="G15" t="s">
        <v>57</v>
      </c>
      <c r="H15" t="s">
        <v>220</v>
      </c>
      <c r="I15" t="s">
        <v>401</v>
      </c>
      <c r="J15" s="7" t="s">
        <v>407</v>
      </c>
      <c r="K15" t="s">
        <v>28</v>
      </c>
      <c r="L15" t="s">
        <v>29</v>
      </c>
      <c r="M15" t="s">
        <v>120</v>
      </c>
      <c r="N15" t="s">
        <v>30</v>
      </c>
      <c r="O15" t="s">
        <v>57</v>
      </c>
      <c r="P15" t="s">
        <v>62</v>
      </c>
      <c r="Q15" t="s">
        <v>401</v>
      </c>
      <c r="S15" t="s">
        <v>60</v>
      </c>
      <c r="U15">
        <v>2380</v>
      </c>
      <c r="V15">
        <v>1</v>
      </c>
      <c r="W15">
        <v>2380</v>
      </c>
      <c r="X15">
        <v>200</v>
      </c>
      <c r="Y15" t="s">
        <v>51</v>
      </c>
      <c r="AA15" t="s">
        <v>34</v>
      </c>
      <c r="AC15" s="1"/>
      <c r="AK15" s="7"/>
      <c r="BC15" s="8"/>
    </row>
    <row r="16" spans="1:55" ht="22.5">
      <c r="A16" s="9" t="s">
        <v>61</v>
      </c>
      <c r="B16" s="1">
        <v>42296.933333333334</v>
      </c>
      <c r="C16" t="s">
        <v>28</v>
      </c>
      <c r="D16" t="s">
        <v>29</v>
      </c>
      <c r="E16" t="s">
        <v>121</v>
      </c>
      <c r="F16" t="s">
        <v>30</v>
      </c>
      <c r="G16" t="s">
        <v>57</v>
      </c>
      <c r="H16" t="s">
        <v>221</v>
      </c>
      <c r="I16" t="s">
        <v>402</v>
      </c>
      <c r="J16" s="7" t="s">
        <v>407</v>
      </c>
      <c r="K16" t="s">
        <v>28</v>
      </c>
      <c r="L16" t="s">
        <v>29</v>
      </c>
      <c r="M16" t="s">
        <v>121</v>
      </c>
      <c r="N16" t="s">
        <v>30</v>
      </c>
      <c r="O16" t="s">
        <v>57</v>
      </c>
      <c r="P16" t="s">
        <v>62</v>
      </c>
      <c r="Q16" t="s">
        <v>402</v>
      </c>
      <c r="S16" t="s">
        <v>59</v>
      </c>
      <c r="U16">
        <v>2380</v>
      </c>
      <c r="V16">
        <v>1</v>
      </c>
      <c r="W16">
        <v>2380</v>
      </c>
      <c r="X16">
        <v>200</v>
      </c>
      <c r="Y16" t="s">
        <v>51</v>
      </c>
      <c r="AA16" t="s">
        <v>34</v>
      </c>
      <c r="AC16" s="1"/>
      <c r="AK16" s="7"/>
      <c r="BC16" s="8"/>
    </row>
    <row r="17" spans="1:55" ht="22.5">
      <c r="A17" s="9" t="s">
        <v>63</v>
      </c>
      <c r="B17" s="1">
        <v>42296.93472222222</v>
      </c>
      <c r="C17" t="s">
        <v>28</v>
      </c>
      <c r="D17" t="s">
        <v>29</v>
      </c>
      <c r="E17" t="s">
        <v>122</v>
      </c>
      <c r="F17" t="s">
        <v>30</v>
      </c>
      <c r="G17" t="s">
        <v>57</v>
      </c>
      <c r="H17" t="s">
        <v>222</v>
      </c>
      <c r="I17" t="s">
        <v>403</v>
      </c>
      <c r="J17" s="7" t="s">
        <v>407</v>
      </c>
      <c r="K17" t="s">
        <v>28</v>
      </c>
      <c r="L17" t="s">
        <v>29</v>
      </c>
      <c r="M17" t="s">
        <v>122</v>
      </c>
      <c r="N17" t="s">
        <v>30</v>
      </c>
      <c r="O17" t="s">
        <v>57</v>
      </c>
      <c r="P17" s="2">
        <v>36925</v>
      </c>
      <c r="Q17" t="s">
        <v>403</v>
      </c>
      <c r="S17" t="s">
        <v>60</v>
      </c>
      <c r="U17">
        <v>2380</v>
      </c>
      <c r="V17">
        <v>1</v>
      </c>
      <c r="W17">
        <v>2380</v>
      </c>
      <c r="X17">
        <v>200</v>
      </c>
      <c r="Y17" t="s">
        <v>51</v>
      </c>
      <c r="AA17" t="s">
        <v>34</v>
      </c>
      <c r="AC17" s="1"/>
      <c r="AI17" s="2"/>
      <c r="AK17" s="7"/>
      <c r="AQ17" s="2"/>
      <c r="BC17" s="8"/>
    </row>
    <row r="18" spans="1:55" ht="22.5">
      <c r="A18" s="9" t="s">
        <v>63</v>
      </c>
      <c r="B18" s="1">
        <v>42296.93472222222</v>
      </c>
      <c r="C18" t="s">
        <v>28</v>
      </c>
      <c r="D18" t="s">
        <v>29</v>
      </c>
      <c r="E18" t="s">
        <v>123</v>
      </c>
      <c r="F18" t="s">
        <v>30</v>
      </c>
      <c r="G18" t="s">
        <v>57</v>
      </c>
      <c r="H18" t="s">
        <v>223</v>
      </c>
      <c r="I18" t="s">
        <v>404</v>
      </c>
      <c r="J18" s="7" t="s">
        <v>407</v>
      </c>
      <c r="K18" t="s">
        <v>28</v>
      </c>
      <c r="L18" t="s">
        <v>29</v>
      </c>
      <c r="M18" t="s">
        <v>123</v>
      </c>
      <c r="N18" t="s">
        <v>30</v>
      </c>
      <c r="O18" t="s">
        <v>57</v>
      </c>
      <c r="P18" s="2">
        <v>36925</v>
      </c>
      <c r="Q18" t="s">
        <v>404</v>
      </c>
      <c r="S18" t="s">
        <v>50</v>
      </c>
      <c r="U18">
        <v>2380</v>
      </c>
      <c r="V18">
        <v>1</v>
      </c>
      <c r="W18">
        <v>2380</v>
      </c>
      <c r="X18">
        <v>200</v>
      </c>
      <c r="Y18" t="s">
        <v>51</v>
      </c>
      <c r="AA18" t="s">
        <v>34</v>
      </c>
      <c r="AC18" s="1"/>
      <c r="AI18" s="2"/>
      <c r="AK18" s="7"/>
      <c r="AQ18" s="2"/>
      <c r="BC18" s="8"/>
    </row>
    <row r="19" spans="1:55" ht="22.5">
      <c r="A19" s="9" t="s">
        <v>64</v>
      </c>
      <c r="B19" s="1">
        <v>42296.946527777778</v>
      </c>
      <c r="C19" t="s">
        <v>65</v>
      </c>
      <c r="D19" t="s">
        <v>29</v>
      </c>
      <c r="E19" t="s">
        <v>124</v>
      </c>
      <c r="F19" t="s">
        <v>30</v>
      </c>
      <c r="G19" t="s">
        <v>57</v>
      </c>
      <c r="H19" t="s">
        <v>224</v>
      </c>
      <c r="I19" t="s">
        <v>405</v>
      </c>
      <c r="J19" s="7" t="s">
        <v>407</v>
      </c>
      <c r="K19" t="s">
        <v>65</v>
      </c>
      <c r="L19" t="s">
        <v>29</v>
      </c>
      <c r="M19" t="s">
        <v>124</v>
      </c>
      <c r="N19" t="s">
        <v>30</v>
      </c>
      <c r="O19" t="s">
        <v>57</v>
      </c>
      <c r="P19" s="2">
        <v>36925</v>
      </c>
      <c r="Q19" t="s">
        <v>405</v>
      </c>
      <c r="S19" t="s">
        <v>48</v>
      </c>
      <c r="U19">
        <v>2380</v>
      </c>
      <c r="V19">
        <v>1</v>
      </c>
      <c r="W19">
        <v>2380</v>
      </c>
      <c r="X19">
        <v>200</v>
      </c>
      <c r="Y19" t="s">
        <v>51</v>
      </c>
      <c r="AA19" t="s">
        <v>34</v>
      </c>
      <c r="AC19" s="1"/>
      <c r="AI19" s="2"/>
      <c r="AK19" s="7"/>
      <c r="AQ19" s="2"/>
      <c r="BC19" s="8"/>
    </row>
    <row r="20" spans="1:55" ht="22.5">
      <c r="A20" s="9" t="s">
        <v>64</v>
      </c>
      <c r="B20" s="1">
        <v>42296.946527777778</v>
      </c>
      <c r="C20" t="s">
        <v>65</v>
      </c>
      <c r="D20" t="s">
        <v>29</v>
      </c>
      <c r="E20" t="s">
        <v>125</v>
      </c>
      <c r="F20" t="s">
        <v>30</v>
      </c>
      <c r="G20" t="s">
        <v>57</v>
      </c>
      <c r="H20" t="s">
        <v>225</v>
      </c>
      <c r="I20" t="s">
        <v>406</v>
      </c>
      <c r="J20" s="7" t="s">
        <v>407</v>
      </c>
      <c r="K20" t="s">
        <v>65</v>
      </c>
      <c r="L20" t="s">
        <v>29</v>
      </c>
      <c r="M20" t="s">
        <v>125</v>
      </c>
      <c r="N20" t="s">
        <v>30</v>
      </c>
      <c r="O20" t="s">
        <v>57</v>
      </c>
      <c r="P20" s="2">
        <v>36925</v>
      </c>
      <c r="Q20" t="s">
        <v>406</v>
      </c>
      <c r="S20" t="s">
        <v>60</v>
      </c>
      <c r="U20">
        <v>2380</v>
      </c>
      <c r="V20">
        <v>1</v>
      </c>
      <c r="W20">
        <v>2380</v>
      </c>
      <c r="X20">
        <v>200</v>
      </c>
      <c r="Y20" t="s">
        <v>51</v>
      </c>
      <c r="AA20" t="s">
        <v>34</v>
      </c>
      <c r="AC20" s="1"/>
      <c r="AI20" s="2"/>
      <c r="AK20" s="7"/>
      <c r="AQ20" s="2"/>
      <c r="BC20" s="8"/>
    </row>
    <row r="21" spans="1:55" ht="22.5">
      <c r="A21" s="9" t="s">
        <v>66</v>
      </c>
      <c r="B21" s="1">
        <v>42296.947222222225</v>
      </c>
      <c r="C21" t="s">
        <v>67</v>
      </c>
      <c r="D21" t="s">
        <v>68</v>
      </c>
      <c r="E21" t="s">
        <v>126</v>
      </c>
      <c r="F21" t="s">
        <v>30</v>
      </c>
      <c r="G21" t="s">
        <v>57</v>
      </c>
      <c r="H21" t="s">
        <v>226</v>
      </c>
      <c r="I21" t="s">
        <v>307</v>
      </c>
      <c r="J21" s="7" t="s">
        <v>407</v>
      </c>
      <c r="K21" t="s">
        <v>67</v>
      </c>
      <c r="L21" t="s">
        <v>68</v>
      </c>
      <c r="M21" t="s">
        <v>126</v>
      </c>
      <c r="N21" t="s">
        <v>30</v>
      </c>
      <c r="O21" t="s">
        <v>57</v>
      </c>
      <c r="P21" s="2">
        <v>36925</v>
      </c>
      <c r="Q21" t="s">
        <v>307</v>
      </c>
      <c r="S21" t="s">
        <v>60</v>
      </c>
      <c r="U21">
        <v>2380</v>
      </c>
      <c r="V21">
        <v>1</v>
      </c>
      <c r="W21">
        <v>2380</v>
      </c>
      <c r="X21">
        <v>200</v>
      </c>
      <c r="Y21" t="s">
        <v>51</v>
      </c>
      <c r="AA21" t="s">
        <v>34</v>
      </c>
      <c r="AC21" s="1"/>
      <c r="AI21" s="2"/>
      <c r="AK21" s="7"/>
      <c r="AQ21" s="2"/>
      <c r="BC21" s="8"/>
    </row>
    <row r="22" spans="1:55" ht="22.5">
      <c r="A22" s="9" t="s">
        <v>66</v>
      </c>
      <c r="B22" s="1">
        <v>42296.947222222225</v>
      </c>
      <c r="C22" t="s">
        <v>67</v>
      </c>
      <c r="D22" t="s">
        <v>68</v>
      </c>
      <c r="E22" t="s">
        <v>127</v>
      </c>
      <c r="F22" t="s">
        <v>30</v>
      </c>
      <c r="G22" t="s">
        <v>57</v>
      </c>
      <c r="H22" t="s">
        <v>227</v>
      </c>
      <c r="I22" t="s">
        <v>308</v>
      </c>
      <c r="J22" s="7" t="s">
        <v>407</v>
      </c>
      <c r="K22" t="s">
        <v>67</v>
      </c>
      <c r="L22" t="s">
        <v>68</v>
      </c>
      <c r="M22" t="s">
        <v>127</v>
      </c>
      <c r="N22" t="s">
        <v>30</v>
      </c>
      <c r="O22" t="s">
        <v>57</v>
      </c>
      <c r="P22" s="2">
        <v>36925</v>
      </c>
      <c r="Q22" t="s">
        <v>308</v>
      </c>
      <c r="S22" t="s">
        <v>48</v>
      </c>
      <c r="U22">
        <v>2380</v>
      </c>
      <c r="V22">
        <v>1</v>
      </c>
      <c r="W22">
        <v>2380</v>
      </c>
      <c r="X22">
        <v>200</v>
      </c>
      <c r="Y22" t="s">
        <v>51</v>
      </c>
      <c r="AA22" t="s">
        <v>34</v>
      </c>
      <c r="AC22" s="1"/>
      <c r="AI22" s="2"/>
      <c r="AK22" s="7"/>
      <c r="AQ22" s="2"/>
      <c r="BC22" s="8"/>
    </row>
    <row r="23" spans="1:55" ht="22.5">
      <c r="A23" s="9" t="s">
        <v>69</v>
      </c>
      <c r="B23" s="1">
        <v>42296.948611111111</v>
      </c>
      <c r="C23" t="s">
        <v>67</v>
      </c>
      <c r="D23" t="s">
        <v>70</v>
      </c>
      <c r="E23" t="s">
        <v>128</v>
      </c>
      <c r="F23" t="s">
        <v>30</v>
      </c>
      <c r="G23" t="s">
        <v>57</v>
      </c>
      <c r="H23" t="s">
        <v>228</v>
      </c>
      <c r="I23" t="s">
        <v>309</v>
      </c>
      <c r="J23" s="7" t="s">
        <v>407</v>
      </c>
      <c r="K23" t="s">
        <v>67</v>
      </c>
      <c r="L23" t="s">
        <v>70</v>
      </c>
      <c r="M23" t="s">
        <v>128</v>
      </c>
      <c r="N23" t="s">
        <v>30</v>
      </c>
      <c r="O23" t="s">
        <v>57</v>
      </c>
      <c r="P23" t="s">
        <v>71</v>
      </c>
      <c r="Q23" t="s">
        <v>309</v>
      </c>
      <c r="S23" t="s">
        <v>60</v>
      </c>
      <c r="U23">
        <v>2380</v>
      </c>
      <c r="V23">
        <v>1</v>
      </c>
      <c r="W23">
        <v>2380</v>
      </c>
      <c r="X23">
        <v>200</v>
      </c>
      <c r="Y23" t="s">
        <v>51</v>
      </c>
      <c r="AA23" t="s">
        <v>34</v>
      </c>
      <c r="AC23" s="1"/>
      <c r="AK23" s="7"/>
      <c r="BC23" s="8"/>
    </row>
    <row r="24" spans="1:55" ht="22.5">
      <c r="A24" s="9" t="s">
        <v>69</v>
      </c>
      <c r="B24" s="1">
        <v>42296.948611111111</v>
      </c>
      <c r="C24" t="s">
        <v>67</v>
      </c>
      <c r="D24" t="s">
        <v>70</v>
      </c>
      <c r="E24" t="s">
        <v>129</v>
      </c>
      <c r="F24" t="s">
        <v>30</v>
      </c>
      <c r="G24" t="s">
        <v>57</v>
      </c>
      <c r="H24" t="s">
        <v>229</v>
      </c>
      <c r="I24" t="s">
        <v>310</v>
      </c>
      <c r="J24" s="7" t="s">
        <v>407</v>
      </c>
      <c r="K24" t="s">
        <v>67</v>
      </c>
      <c r="L24" t="s">
        <v>70</v>
      </c>
      <c r="M24" t="s">
        <v>129</v>
      </c>
      <c r="N24" t="s">
        <v>30</v>
      </c>
      <c r="O24" t="s">
        <v>57</v>
      </c>
      <c r="P24" t="s">
        <v>71</v>
      </c>
      <c r="Q24" t="s">
        <v>310</v>
      </c>
      <c r="S24" t="s">
        <v>48</v>
      </c>
      <c r="U24">
        <v>2380</v>
      </c>
      <c r="V24">
        <v>1</v>
      </c>
      <c r="W24">
        <v>2380</v>
      </c>
      <c r="X24">
        <v>200</v>
      </c>
      <c r="Y24" t="s">
        <v>51</v>
      </c>
      <c r="AA24" t="s">
        <v>34</v>
      </c>
      <c r="AC24" s="1"/>
      <c r="AK24" s="7"/>
      <c r="BC24" s="8"/>
    </row>
    <row r="25" spans="1:55" ht="22.5">
      <c r="A25" s="9" t="s">
        <v>72</v>
      </c>
      <c r="B25" s="1">
        <v>42365.10833333333</v>
      </c>
      <c r="C25" t="s">
        <v>28</v>
      </c>
      <c r="D25" t="s">
        <v>29</v>
      </c>
      <c r="E25" t="s">
        <v>130</v>
      </c>
      <c r="F25" t="s">
        <v>30</v>
      </c>
      <c r="G25" t="s">
        <v>31</v>
      </c>
      <c r="H25" t="s">
        <v>230</v>
      </c>
      <c r="I25" t="s">
        <v>311</v>
      </c>
      <c r="J25" s="7" t="s">
        <v>407</v>
      </c>
      <c r="K25" t="s">
        <v>28</v>
      </c>
      <c r="L25" t="s">
        <v>29</v>
      </c>
      <c r="M25" t="s">
        <v>130</v>
      </c>
      <c r="N25" t="s">
        <v>30</v>
      </c>
      <c r="O25" t="s">
        <v>31</v>
      </c>
      <c r="P25" t="s">
        <v>73</v>
      </c>
      <c r="Q25" t="s">
        <v>311</v>
      </c>
      <c r="S25" t="s">
        <v>74</v>
      </c>
      <c r="U25">
        <v>2380</v>
      </c>
      <c r="V25">
        <v>1</v>
      </c>
      <c r="W25">
        <v>2380</v>
      </c>
      <c r="X25">
        <v>200</v>
      </c>
      <c r="Y25" t="s">
        <v>51</v>
      </c>
      <c r="AA25" t="s">
        <v>34</v>
      </c>
      <c r="AC25" s="1"/>
      <c r="AK25" s="7"/>
      <c r="BC25" s="8"/>
    </row>
    <row r="26" spans="1:55" ht="22.5">
      <c r="A26" s="9" t="s">
        <v>75</v>
      </c>
      <c r="B26" s="1">
        <v>42510.90902777778</v>
      </c>
      <c r="C26" t="s">
        <v>88</v>
      </c>
      <c r="D26" t="s">
        <v>89</v>
      </c>
      <c r="E26" t="s">
        <v>131</v>
      </c>
      <c r="F26" t="s">
        <v>30</v>
      </c>
      <c r="G26" t="s">
        <v>43</v>
      </c>
      <c r="H26" t="s">
        <v>231</v>
      </c>
      <c r="I26" t="s">
        <v>312</v>
      </c>
      <c r="J26" s="7" t="s">
        <v>407</v>
      </c>
      <c r="K26" t="s">
        <v>88</v>
      </c>
      <c r="L26" t="s">
        <v>89</v>
      </c>
      <c r="M26" t="s">
        <v>131</v>
      </c>
      <c r="N26" t="s">
        <v>30</v>
      </c>
      <c r="O26" t="s">
        <v>43</v>
      </c>
      <c r="P26" t="s">
        <v>76</v>
      </c>
      <c r="Q26" t="s">
        <v>312</v>
      </c>
      <c r="S26" t="s">
        <v>77</v>
      </c>
      <c r="U26">
        <v>1850</v>
      </c>
      <c r="V26">
        <v>1</v>
      </c>
      <c r="W26">
        <v>1850</v>
      </c>
      <c r="X26">
        <v>200</v>
      </c>
      <c r="Y26" t="s">
        <v>51</v>
      </c>
      <c r="AA26" t="s">
        <v>34</v>
      </c>
      <c r="AC26" s="1"/>
      <c r="AK26" s="7"/>
      <c r="BC26" s="8"/>
    </row>
    <row r="27" spans="1:55">
      <c r="A27" s="9" t="s">
        <v>27</v>
      </c>
      <c r="B27" s="1">
        <v>41870.770138888889</v>
      </c>
      <c r="C27" t="s">
        <v>28</v>
      </c>
      <c r="D27" t="s">
        <v>29</v>
      </c>
      <c r="E27" t="s">
        <v>132</v>
      </c>
      <c r="F27" t="s">
        <v>30</v>
      </c>
      <c r="G27" t="s">
        <v>31</v>
      </c>
      <c r="H27" t="s">
        <v>232</v>
      </c>
      <c r="I27" t="s">
        <v>313</v>
      </c>
      <c r="J27" s="7" t="s">
        <v>407</v>
      </c>
      <c r="K27" t="s">
        <v>28</v>
      </c>
      <c r="L27" t="s">
        <v>29</v>
      </c>
      <c r="M27" t="s">
        <v>132</v>
      </c>
      <c r="N27" t="s">
        <v>30</v>
      </c>
      <c r="O27" t="s">
        <v>31</v>
      </c>
      <c r="P27" t="s">
        <v>105</v>
      </c>
      <c r="Q27" t="s">
        <v>313</v>
      </c>
      <c r="S27" t="s">
        <v>32</v>
      </c>
      <c r="U27">
        <v>2380</v>
      </c>
      <c r="V27">
        <v>1</v>
      </c>
      <c r="W27">
        <v>2380</v>
      </c>
      <c r="X27">
        <v>0</v>
      </c>
      <c r="Y27" t="s">
        <v>33</v>
      </c>
      <c r="AA27" t="s">
        <v>34</v>
      </c>
    </row>
    <row r="28" spans="1:55">
      <c r="A28" s="9" t="s">
        <v>35</v>
      </c>
      <c r="B28" s="1">
        <v>41912.788194444445</v>
      </c>
      <c r="C28" t="s">
        <v>36</v>
      </c>
      <c r="D28" t="s">
        <v>37</v>
      </c>
      <c r="E28" t="s">
        <v>133</v>
      </c>
      <c r="F28" t="s">
        <v>30</v>
      </c>
      <c r="G28" t="s">
        <v>31</v>
      </c>
      <c r="H28" t="s">
        <v>233</v>
      </c>
      <c r="I28" t="s">
        <v>314</v>
      </c>
      <c r="J28" s="7" t="s">
        <v>407</v>
      </c>
      <c r="K28" t="s">
        <v>36</v>
      </c>
      <c r="L28" t="s">
        <v>37</v>
      </c>
      <c r="M28" t="s">
        <v>133</v>
      </c>
      <c r="N28" t="s">
        <v>30</v>
      </c>
      <c r="O28" t="s">
        <v>31</v>
      </c>
      <c r="P28" t="s">
        <v>38</v>
      </c>
      <c r="Q28" t="s">
        <v>314</v>
      </c>
      <c r="S28" t="s">
        <v>39</v>
      </c>
      <c r="T28" t="s">
        <v>40</v>
      </c>
      <c r="U28">
        <v>100</v>
      </c>
      <c r="V28">
        <v>1</v>
      </c>
      <c r="W28">
        <v>100</v>
      </c>
      <c r="X28">
        <v>0</v>
      </c>
      <c r="Y28" t="s">
        <v>33</v>
      </c>
      <c r="AA28" t="s">
        <v>34</v>
      </c>
    </row>
    <row r="29" spans="1:55">
      <c r="A29" s="9" t="s">
        <v>41</v>
      </c>
      <c r="B29" s="1">
        <v>41920.809027777781</v>
      </c>
      <c r="C29" t="s">
        <v>28</v>
      </c>
      <c r="D29" t="s">
        <v>42</v>
      </c>
      <c r="E29" t="s">
        <v>134</v>
      </c>
      <c r="F29" t="s">
        <v>30</v>
      </c>
      <c r="G29" t="s">
        <v>43</v>
      </c>
      <c r="H29" t="s">
        <v>234</v>
      </c>
      <c r="I29" t="s">
        <v>315</v>
      </c>
      <c r="J29" s="7" t="s">
        <v>407</v>
      </c>
      <c r="K29" t="s">
        <v>28</v>
      </c>
      <c r="L29" t="s">
        <v>42</v>
      </c>
      <c r="M29" t="s">
        <v>134</v>
      </c>
      <c r="N29" t="s">
        <v>30</v>
      </c>
      <c r="O29" t="s">
        <v>43</v>
      </c>
      <c r="P29" s="2">
        <v>36954</v>
      </c>
      <c r="Q29" t="s">
        <v>315</v>
      </c>
      <c r="S29" t="s">
        <v>44</v>
      </c>
      <c r="U29">
        <v>100</v>
      </c>
      <c r="V29">
        <v>1</v>
      </c>
      <c r="W29">
        <v>100</v>
      </c>
      <c r="X29">
        <v>0</v>
      </c>
      <c r="Y29" t="s">
        <v>33</v>
      </c>
      <c r="AA29" t="s">
        <v>34</v>
      </c>
    </row>
    <row r="30" spans="1:55">
      <c r="A30" s="9" t="s">
        <v>45</v>
      </c>
      <c r="B30" s="1">
        <v>42017.817361111112</v>
      </c>
      <c r="C30" t="s">
        <v>46</v>
      </c>
      <c r="D30" t="s">
        <v>47</v>
      </c>
      <c r="E30" t="s">
        <v>135</v>
      </c>
      <c r="F30" t="s">
        <v>30</v>
      </c>
      <c r="G30" t="s">
        <v>43</v>
      </c>
      <c r="H30" t="s">
        <v>235</v>
      </c>
      <c r="I30" t="s">
        <v>316</v>
      </c>
      <c r="J30" s="7" t="s">
        <v>407</v>
      </c>
      <c r="K30" t="s">
        <v>46</v>
      </c>
      <c r="L30" t="s">
        <v>47</v>
      </c>
      <c r="M30" t="s">
        <v>135</v>
      </c>
      <c r="N30" t="s">
        <v>30</v>
      </c>
      <c r="O30" t="s">
        <v>43</v>
      </c>
      <c r="P30" s="2">
        <v>36892</v>
      </c>
      <c r="Q30" t="s">
        <v>316</v>
      </c>
      <c r="S30" t="s">
        <v>48</v>
      </c>
      <c r="U30">
        <v>2380</v>
      </c>
      <c r="V30">
        <v>1</v>
      </c>
      <c r="W30">
        <v>2380</v>
      </c>
      <c r="X30">
        <v>0</v>
      </c>
      <c r="Y30" t="s">
        <v>33</v>
      </c>
      <c r="AA30" t="s">
        <v>34</v>
      </c>
    </row>
    <row r="31" spans="1:55">
      <c r="A31" s="9" t="s">
        <v>49</v>
      </c>
      <c r="B31" s="1">
        <v>42296.890972222223</v>
      </c>
      <c r="C31" t="s">
        <v>28</v>
      </c>
      <c r="D31" t="s">
        <v>29</v>
      </c>
      <c r="E31" t="s">
        <v>136</v>
      </c>
      <c r="F31" t="s">
        <v>30</v>
      </c>
      <c r="G31" t="s">
        <v>31</v>
      </c>
      <c r="H31" t="s">
        <v>236</v>
      </c>
      <c r="I31" t="s">
        <v>317</v>
      </c>
      <c r="J31" s="7" t="s">
        <v>407</v>
      </c>
      <c r="K31" t="s">
        <v>28</v>
      </c>
      <c r="L31" t="s">
        <v>29</v>
      </c>
      <c r="M31" t="s">
        <v>136</v>
      </c>
      <c r="N31" t="s">
        <v>30</v>
      </c>
      <c r="O31" t="s">
        <v>31</v>
      </c>
      <c r="P31" s="2">
        <v>36923</v>
      </c>
      <c r="Q31" t="s">
        <v>317</v>
      </c>
      <c r="S31" t="s">
        <v>50</v>
      </c>
      <c r="U31">
        <v>2380</v>
      </c>
      <c r="V31">
        <v>1</v>
      </c>
      <c r="W31">
        <v>2380</v>
      </c>
      <c r="X31">
        <v>200</v>
      </c>
      <c r="Y31" t="s">
        <v>51</v>
      </c>
      <c r="AA31" t="s">
        <v>34</v>
      </c>
    </row>
    <row r="32" spans="1:55">
      <c r="A32" s="9" t="s">
        <v>49</v>
      </c>
      <c r="B32" s="1">
        <v>42296.890972222223</v>
      </c>
      <c r="C32" t="s">
        <v>28</v>
      </c>
      <c r="D32" t="s">
        <v>29</v>
      </c>
      <c r="E32" t="s">
        <v>137</v>
      </c>
      <c r="F32" t="s">
        <v>30</v>
      </c>
      <c r="G32" t="s">
        <v>31</v>
      </c>
      <c r="H32" t="s">
        <v>237</v>
      </c>
      <c r="I32" t="s">
        <v>318</v>
      </c>
      <c r="J32" s="7" t="s">
        <v>407</v>
      </c>
      <c r="K32" t="s">
        <v>28</v>
      </c>
      <c r="L32" t="s">
        <v>29</v>
      </c>
      <c r="M32" t="s">
        <v>137</v>
      </c>
      <c r="N32" t="s">
        <v>30</v>
      </c>
      <c r="O32" t="s">
        <v>31</v>
      </c>
      <c r="P32" s="2">
        <v>36923</v>
      </c>
      <c r="Q32" t="s">
        <v>318</v>
      </c>
      <c r="S32" t="s">
        <v>48</v>
      </c>
      <c r="U32">
        <v>2380</v>
      </c>
      <c r="V32">
        <v>1</v>
      </c>
      <c r="W32">
        <v>2380</v>
      </c>
      <c r="X32">
        <v>200</v>
      </c>
      <c r="Y32" t="s">
        <v>51</v>
      </c>
      <c r="AA32" t="s">
        <v>34</v>
      </c>
    </row>
    <row r="33" spans="1:27">
      <c r="A33" s="9" t="s">
        <v>52</v>
      </c>
      <c r="B33" s="1">
        <v>42296.911111111112</v>
      </c>
      <c r="C33" t="s">
        <v>28</v>
      </c>
      <c r="D33" t="s">
        <v>29</v>
      </c>
      <c r="E33" t="s">
        <v>138</v>
      </c>
      <c r="F33" t="s">
        <v>30</v>
      </c>
      <c r="G33" t="s">
        <v>31</v>
      </c>
      <c r="H33" t="s">
        <v>238</v>
      </c>
      <c r="I33" t="s">
        <v>319</v>
      </c>
      <c r="J33" s="7" t="s">
        <v>407</v>
      </c>
      <c r="K33" t="s">
        <v>28</v>
      </c>
      <c r="L33" t="s">
        <v>29</v>
      </c>
      <c r="M33" t="s">
        <v>138</v>
      </c>
      <c r="N33" t="s">
        <v>30</v>
      </c>
      <c r="O33" t="s">
        <v>31</v>
      </c>
      <c r="P33" s="2">
        <v>36925</v>
      </c>
      <c r="Q33" t="s">
        <v>319</v>
      </c>
      <c r="S33" t="s">
        <v>32</v>
      </c>
      <c r="U33">
        <v>2380</v>
      </c>
      <c r="V33">
        <v>2</v>
      </c>
      <c r="W33">
        <v>4760</v>
      </c>
      <c r="X33">
        <v>200</v>
      </c>
      <c r="Y33" t="s">
        <v>51</v>
      </c>
      <c r="AA33" t="s">
        <v>34</v>
      </c>
    </row>
    <row r="34" spans="1:27">
      <c r="A34" s="9" t="s">
        <v>53</v>
      </c>
      <c r="B34" s="1">
        <v>42296.912499999999</v>
      </c>
      <c r="C34" t="s">
        <v>28</v>
      </c>
      <c r="D34" t="s">
        <v>29</v>
      </c>
      <c r="E34" t="s">
        <v>139</v>
      </c>
      <c r="F34" t="s">
        <v>30</v>
      </c>
      <c r="G34" t="s">
        <v>31</v>
      </c>
      <c r="H34" t="s">
        <v>239</v>
      </c>
      <c r="I34" t="s">
        <v>320</v>
      </c>
      <c r="J34" s="7" t="s">
        <v>407</v>
      </c>
      <c r="K34" t="s">
        <v>28</v>
      </c>
      <c r="L34" t="s">
        <v>29</v>
      </c>
      <c r="M34" t="s">
        <v>139</v>
      </c>
      <c r="N34" t="s">
        <v>30</v>
      </c>
      <c r="O34" t="s">
        <v>31</v>
      </c>
      <c r="P34" s="2">
        <v>36925</v>
      </c>
      <c r="Q34" t="s">
        <v>320</v>
      </c>
      <c r="S34" t="s">
        <v>32</v>
      </c>
      <c r="U34">
        <v>2380</v>
      </c>
      <c r="V34">
        <v>3</v>
      </c>
      <c r="W34">
        <v>7140</v>
      </c>
      <c r="X34">
        <v>200</v>
      </c>
      <c r="Y34" t="s">
        <v>51</v>
      </c>
      <c r="AA34" t="s">
        <v>34</v>
      </c>
    </row>
    <row r="35" spans="1:27">
      <c r="A35" s="9" t="s">
        <v>54</v>
      </c>
      <c r="B35" s="1">
        <v>42296.913194444445</v>
      </c>
      <c r="C35" t="s">
        <v>28</v>
      </c>
      <c r="D35" t="s">
        <v>29</v>
      </c>
      <c r="E35" t="s">
        <v>140</v>
      </c>
      <c r="F35" t="s">
        <v>30</v>
      </c>
      <c r="G35" t="s">
        <v>31</v>
      </c>
      <c r="H35" t="s">
        <v>240</v>
      </c>
      <c r="I35" t="s">
        <v>321</v>
      </c>
      <c r="J35" s="7" t="s">
        <v>407</v>
      </c>
      <c r="K35" t="s">
        <v>28</v>
      </c>
      <c r="L35" t="s">
        <v>29</v>
      </c>
      <c r="M35" t="s">
        <v>140</v>
      </c>
      <c r="N35" t="s">
        <v>30</v>
      </c>
      <c r="O35" t="s">
        <v>31</v>
      </c>
      <c r="P35">
        <v>123</v>
      </c>
      <c r="Q35" t="s">
        <v>321</v>
      </c>
      <c r="S35" t="s">
        <v>32</v>
      </c>
      <c r="U35">
        <v>2380</v>
      </c>
      <c r="V35">
        <v>2</v>
      </c>
      <c r="W35">
        <v>4760</v>
      </c>
      <c r="X35">
        <v>200</v>
      </c>
      <c r="Y35" t="s">
        <v>51</v>
      </c>
      <c r="AA35" t="s">
        <v>34</v>
      </c>
    </row>
    <row r="36" spans="1:27">
      <c r="A36" s="9" t="s">
        <v>55</v>
      </c>
      <c r="B36" s="1">
        <v>42296.914583333331</v>
      </c>
      <c r="C36" t="s">
        <v>28</v>
      </c>
      <c r="D36" t="s">
        <v>29</v>
      </c>
      <c r="E36" t="s">
        <v>141</v>
      </c>
      <c r="F36" t="s">
        <v>30</v>
      </c>
      <c r="G36" t="s">
        <v>31</v>
      </c>
      <c r="H36" t="s">
        <v>241</v>
      </c>
      <c r="I36" t="s">
        <v>322</v>
      </c>
      <c r="J36" s="7" t="s">
        <v>407</v>
      </c>
      <c r="K36" t="s">
        <v>28</v>
      </c>
      <c r="L36" t="s">
        <v>29</v>
      </c>
      <c r="M36" t="s">
        <v>141</v>
      </c>
      <c r="N36" t="s">
        <v>30</v>
      </c>
      <c r="O36" t="s">
        <v>31</v>
      </c>
      <c r="P36" s="2">
        <v>36925</v>
      </c>
      <c r="Q36" t="s">
        <v>322</v>
      </c>
      <c r="S36" t="s">
        <v>32</v>
      </c>
      <c r="U36">
        <v>2380</v>
      </c>
      <c r="V36">
        <v>1</v>
      </c>
      <c r="W36">
        <v>2380</v>
      </c>
      <c r="X36">
        <v>200</v>
      </c>
      <c r="Y36" t="s">
        <v>51</v>
      </c>
      <c r="AA36" t="s">
        <v>34</v>
      </c>
    </row>
    <row r="37" spans="1:27">
      <c r="A37" s="9" t="s">
        <v>56</v>
      </c>
      <c r="B37" s="1">
        <v>42296.927083333336</v>
      </c>
      <c r="C37" t="s">
        <v>28</v>
      </c>
      <c r="D37" t="s">
        <v>29</v>
      </c>
      <c r="E37" t="s">
        <v>142</v>
      </c>
      <c r="F37" t="s">
        <v>30</v>
      </c>
      <c r="G37" t="s">
        <v>57</v>
      </c>
      <c r="H37" t="s">
        <v>242</v>
      </c>
      <c r="I37" t="s">
        <v>323</v>
      </c>
      <c r="J37" s="7" t="s">
        <v>407</v>
      </c>
      <c r="K37" t="s">
        <v>28</v>
      </c>
      <c r="L37" t="s">
        <v>29</v>
      </c>
      <c r="M37" t="s">
        <v>142</v>
      </c>
      <c r="N37" t="s">
        <v>30</v>
      </c>
      <c r="O37" t="s">
        <v>57</v>
      </c>
      <c r="P37" s="2">
        <v>36925</v>
      </c>
      <c r="Q37" t="s">
        <v>323</v>
      </c>
      <c r="S37" t="s">
        <v>32</v>
      </c>
      <c r="U37">
        <v>2380</v>
      </c>
      <c r="V37">
        <v>1</v>
      </c>
      <c r="W37">
        <v>2380</v>
      </c>
      <c r="X37">
        <v>200</v>
      </c>
      <c r="Y37" t="s">
        <v>51</v>
      </c>
      <c r="AA37" t="s">
        <v>34</v>
      </c>
    </row>
    <row r="38" spans="1:27">
      <c r="A38" s="9" t="s">
        <v>58</v>
      </c>
      <c r="B38" s="1">
        <v>42296.932638888888</v>
      </c>
      <c r="C38" t="s">
        <v>28</v>
      </c>
      <c r="D38" t="s">
        <v>29</v>
      </c>
      <c r="E38" t="s">
        <v>143</v>
      </c>
      <c r="F38" t="s">
        <v>30</v>
      </c>
      <c r="G38" t="s">
        <v>57</v>
      </c>
      <c r="H38" t="s">
        <v>243</v>
      </c>
      <c r="I38" t="s">
        <v>324</v>
      </c>
      <c r="J38" s="7" t="s">
        <v>407</v>
      </c>
      <c r="K38" t="s">
        <v>28</v>
      </c>
      <c r="L38" t="s">
        <v>29</v>
      </c>
      <c r="M38" t="s">
        <v>143</v>
      </c>
      <c r="N38" t="s">
        <v>30</v>
      </c>
      <c r="O38" t="s">
        <v>57</v>
      </c>
      <c r="P38" s="2">
        <v>36925</v>
      </c>
      <c r="Q38" t="s">
        <v>324</v>
      </c>
      <c r="S38" t="s">
        <v>59</v>
      </c>
      <c r="U38">
        <v>2380</v>
      </c>
      <c r="V38">
        <v>1</v>
      </c>
      <c r="W38">
        <v>2380</v>
      </c>
      <c r="X38">
        <v>200</v>
      </c>
      <c r="Y38" t="s">
        <v>51</v>
      </c>
      <c r="AA38" t="s">
        <v>34</v>
      </c>
    </row>
    <row r="39" spans="1:27">
      <c r="A39" s="9" t="s">
        <v>58</v>
      </c>
      <c r="B39" s="1">
        <v>42296.932638888888</v>
      </c>
      <c r="C39" t="s">
        <v>28</v>
      </c>
      <c r="D39" t="s">
        <v>29</v>
      </c>
      <c r="E39" t="s">
        <v>144</v>
      </c>
      <c r="F39" t="s">
        <v>30</v>
      </c>
      <c r="G39" t="s">
        <v>57</v>
      </c>
      <c r="H39" t="s">
        <v>244</v>
      </c>
      <c r="I39" t="s">
        <v>325</v>
      </c>
      <c r="J39" s="7" t="s">
        <v>407</v>
      </c>
      <c r="K39" t="s">
        <v>28</v>
      </c>
      <c r="L39" t="s">
        <v>29</v>
      </c>
      <c r="M39" t="s">
        <v>144</v>
      </c>
      <c r="N39" t="s">
        <v>30</v>
      </c>
      <c r="O39" t="s">
        <v>57</v>
      </c>
      <c r="P39" s="2">
        <v>36925</v>
      </c>
      <c r="Q39" t="s">
        <v>325</v>
      </c>
      <c r="S39" t="s">
        <v>60</v>
      </c>
      <c r="U39">
        <v>2380</v>
      </c>
      <c r="V39">
        <v>1</v>
      </c>
      <c r="W39">
        <v>2380</v>
      </c>
      <c r="X39">
        <v>200</v>
      </c>
      <c r="Y39" t="s">
        <v>51</v>
      </c>
      <c r="AA39" t="s">
        <v>34</v>
      </c>
    </row>
    <row r="40" spans="1:27">
      <c r="A40" s="9" t="s">
        <v>61</v>
      </c>
      <c r="B40" s="1">
        <v>42296.933333333334</v>
      </c>
      <c r="C40" t="s">
        <v>28</v>
      </c>
      <c r="D40" t="s">
        <v>29</v>
      </c>
      <c r="E40" t="s">
        <v>145</v>
      </c>
      <c r="F40" t="s">
        <v>30</v>
      </c>
      <c r="G40" t="s">
        <v>57</v>
      </c>
      <c r="H40" t="s">
        <v>245</v>
      </c>
      <c r="I40" t="s">
        <v>326</v>
      </c>
      <c r="J40" s="7" t="s">
        <v>407</v>
      </c>
      <c r="K40" t="s">
        <v>28</v>
      </c>
      <c r="L40" t="s">
        <v>29</v>
      </c>
      <c r="M40" t="s">
        <v>145</v>
      </c>
      <c r="N40" t="s">
        <v>30</v>
      </c>
      <c r="O40" t="s">
        <v>57</v>
      </c>
      <c r="P40" t="s">
        <v>62</v>
      </c>
      <c r="Q40" t="s">
        <v>326</v>
      </c>
      <c r="S40" t="s">
        <v>60</v>
      </c>
      <c r="U40">
        <v>2380</v>
      </c>
      <c r="V40">
        <v>1</v>
      </c>
      <c r="W40">
        <v>2380</v>
      </c>
      <c r="X40">
        <v>200</v>
      </c>
      <c r="Y40" t="s">
        <v>51</v>
      </c>
      <c r="AA40" t="s">
        <v>34</v>
      </c>
    </row>
    <row r="41" spans="1:27">
      <c r="A41" s="9" t="s">
        <v>61</v>
      </c>
      <c r="B41" s="1">
        <v>42296.933333333334</v>
      </c>
      <c r="C41" t="s">
        <v>28</v>
      </c>
      <c r="D41" t="s">
        <v>29</v>
      </c>
      <c r="E41" t="s">
        <v>146</v>
      </c>
      <c r="F41" t="s">
        <v>30</v>
      </c>
      <c r="G41" t="s">
        <v>57</v>
      </c>
      <c r="H41" t="s">
        <v>246</v>
      </c>
      <c r="I41" t="s">
        <v>327</v>
      </c>
      <c r="J41" s="7" t="s">
        <v>407</v>
      </c>
      <c r="K41" t="s">
        <v>28</v>
      </c>
      <c r="L41" t="s">
        <v>29</v>
      </c>
      <c r="M41" t="s">
        <v>146</v>
      </c>
      <c r="N41" t="s">
        <v>30</v>
      </c>
      <c r="O41" t="s">
        <v>57</v>
      </c>
      <c r="P41" t="s">
        <v>62</v>
      </c>
      <c r="Q41" t="s">
        <v>327</v>
      </c>
      <c r="S41" t="s">
        <v>59</v>
      </c>
      <c r="U41">
        <v>2380</v>
      </c>
      <c r="V41">
        <v>1</v>
      </c>
      <c r="W41">
        <v>2380</v>
      </c>
      <c r="X41">
        <v>200</v>
      </c>
      <c r="Y41" t="s">
        <v>51</v>
      </c>
      <c r="AA41" t="s">
        <v>34</v>
      </c>
    </row>
    <row r="42" spans="1:27">
      <c r="A42" s="9" t="s">
        <v>63</v>
      </c>
      <c r="B42" s="1">
        <v>42296.93472222222</v>
      </c>
      <c r="C42" t="s">
        <v>28</v>
      </c>
      <c r="D42" t="s">
        <v>29</v>
      </c>
      <c r="E42" t="s">
        <v>147</v>
      </c>
      <c r="F42" t="s">
        <v>30</v>
      </c>
      <c r="G42" t="s">
        <v>57</v>
      </c>
      <c r="H42" t="s">
        <v>247</v>
      </c>
      <c r="I42" t="s">
        <v>328</v>
      </c>
      <c r="J42" s="7" t="s">
        <v>407</v>
      </c>
      <c r="K42" t="s">
        <v>28</v>
      </c>
      <c r="L42" t="s">
        <v>29</v>
      </c>
      <c r="M42" t="s">
        <v>147</v>
      </c>
      <c r="N42" t="s">
        <v>30</v>
      </c>
      <c r="O42" t="s">
        <v>57</v>
      </c>
      <c r="P42" s="2">
        <v>36925</v>
      </c>
      <c r="Q42" t="s">
        <v>328</v>
      </c>
      <c r="S42" t="s">
        <v>60</v>
      </c>
      <c r="U42">
        <v>2380</v>
      </c>
      <c r="V42">
        <v>1</v>
      </c>
      <c r="W42">
        <v>2380</v>
      </c>
      <c r="X42">
        <v>200</v>
      </c>
      <c r="Y42" t="s">
        <v>51</v>
      </c>
      <c r="AA42" t="s">
        <v>34</v>
      </c>
    </row>
    <row r="43" spans="1:27">
      <c r="A43" s="9" t="s">
        <v>63</v>
      </c>
      <c r="B43" s="1">
        <v>42296.93472222222</v>
      </c>
      <c r="C43" t="s">
        <v>28</v>
      </c>
      <c r="D43" t="s">
        <v>29</v>
      </c>
      <c r="E43" t="s">
        <v>148</v>
      </c>
      <c r="F43" t="s">
        <v>30</v>
      </c>
      <c r="G43" t="s">
        <v>57</v>
      </c>
      <c r="H43" t="s">
        <v>248</v>
      </c>
      <c r="I43" t="s">
        <v>329</v>
      </c>
      <c r="J43" s="7" t="s">
        <v>407</v>
      </c>
      <c r="K43" t="s">
        <v>28</v>
      </c>
      <c r="L43" t="s">
        <v>29</v>
      </c>
      <c r="M43" t="s">
        <v>148</v>
      </c>
      <c r="N43" t="s">
        <v>30</v>
      </c>
      <c r="O43" t="s">
        <v>57</v>
      </c>
      <c r="P43" s="2">
        <v>36925</v>
      </c>
      <c r="Q43" t="s">
        <v>329</v>
      </c>
      <c r="S43" t="s">
        <v>50</v>
      </c>
      <c r="U43">
        <v>2380</v>
      </c>
      <c r="V43">
        <v>1</v>
      </c>
      <c r="W43">
        <v>2380</v>
      </c>
      <c r="X43">
        <v>200</v>
      </c>
      <c r="Y43" t="s">
        <v>51</v>
      </c>
      <c r="AA43" t="s">
        <v>34</v>
      </c>
    </row>
    <row r="44" spans="1:27">
      <c r="A44" s="9" t="s">
        <v>64</v>
      </c>
      <c r="B44" s="1">
        <v>42296.946527777778</v>
      </c>
      <c r="C44" t="s">
        <v>65</v>
      </c>
      <c r="D44" t="s">
        <v>29</v>
      </c>
      <c r="E44" t="s">
        <v>149</v>
      </c>
      <c r="F44" t="s">
        <v>30</v>
      </c>
      <c r="G44" t="s">
        <v>57</v>
      </c>
      <c r="H44" t="s">
        <v>249</v>
      </c>
      <c r="I44" t="s">
        <v>330</v>
      </c>
      <c r="J44" s="7" t="s">
        <v>407</v>
      </c>
      <c r="K44" t="s">
        <v>65</v>
      </c>
      <c r="L44" t="s">
        <v>29</v>
      </c>
      <c r="M44" t="s">
        <v>149</v>
      </c>
      <c r="N44" t="s">
        <v>30</v>
      </c>
      <c r="O44" t="s">
        <v>57</v>
      </c>
      <c r="P44" s="2">
        <v>36925</v>
      </c>
      <c r="Q44" t="s">
        <v>330</v>
      </c>
      <c r="S44" t="s">
        <v>48</v>
      </c>
      <c r="U44">
        <v>2380</v>
      </c>
      <c r="V44">
        <v>1</v>
      </c>
      <c r="W44">
        <v>2380</v>
      </c>
      <c r="X44">
        <v>200</v>
      </c>
      <c r="Y44" t="s">
        <v>51</v>
      </c>
      <c r="AA44" t="s">
        <v>34</v>
      </c>
    </row>
    <row r="45" spans="1:27">
      <c r="A45" s="9" t="s">
        <v>64</v>
      </c>
      <c r="B45" s="1">
        <v>42296.946527777778</v>
      </c>
      <c r="C45" t="s">
        <v>65</v>
      </c>
      <c r="D45" t="s">
        <v>29</v>
      </c>
      <c r="E45" t="s">
        <v>150</v>
      </c>
      <c r="F45" t="s">
        <v>30</v>
      </c>
      <c r="G45" t="s">
        <v>57</v>
      </c>
      <c r="H45" t="s">
        <v>250</v>
      </c>
      <c r="I45" t="s">
        <v>331</v>
      </c>
      <c r="J45" s="7" t="s">
        <v>407</v>
      </c>
      <c r="K45" t="s">
        <v>65</v>
      </c>
      <c r="L45" t="s">
        <v>29</v>
      </c>
      <c r="M45" t="s">
        <v>150</v>
      </c>
      <c r="N45" t="s">
        <v>30</v>
      </c>
      <c r="O45" t="s">
        <v>57</v>
      </c>
      <c r="P45" s="2">
        <v>36925</v>
      </c>
      <c r="Q45" t="s">
        <v>331</v>
      </c>
      <c r="S45" t="s">
        <v>60</v>
      </c>
      <c r="U45">
        <v>2380</v>
      </c>
      <c r="V45">
        <v>1</v>
      </c>
      <c r="W45">
        <v>2380</v>
      </c>
      <c r="X45">
        <v>200</v>
      </c>
      <c r="Y45" t="s">
        <v>51</v>
      </c>
      <c r="AA45" t="s">
        <v>34</v>
      </c>
    </row>
    <row r="46" spans="1:27">
      <c r="A46" s="9" t="s">
        <v>66</v>
      </c>
      <c r="B46" s="1">
        <v>42296.947222222225</v>
      </c>
      <c r="C46" t="s">
        <v>67</v>
      </c>
      <c r="D46" t="s">
        <v>68</v>
      </c>
      <c r="E46" t="s">
        <v>151</v>
      </c>
      <c r="F46" t="s">
        <v>30</v>
      </c>
      <c r="G46" t="s">
        <v>57</v>
      </c>
      <c r="H46" t="s">
        <v>251</v>
      </c>
      <c r="I46" t="s">
        <v>332</v>
      </c>
      <c r="J46" s="7" t="s">
        <v>407</v>
      </c>
      <c r="K46" t="s">
        <v>67</v>
      </c>
      <c r="L46" t="s">
        <v>68</v>
      </c>
      <c r="M46" t="s">
        <v>151</v>
      </c>
      <c r="N46" t="s">
        <v>30</v>
      </c>
      <c r="O46" t="s">
        <v>57</v>
      </c>
      <c r="P46" s="2">
        <v>36925</v>
      </c>
      <c r="Q46" t="s">
        <v>332</v>
      </c>
      <c r="S46" t="s">
        <v>60</v>
      </c>
      <c r="U46">
        <v>2380</v>
      </c>
      <c r="V46">
        <v>1</v>
      </c>
      <c r="W46">
        <v>2380</v>
      </c>
      <c r="X46">
        <v>200</v>
      </c>
      <c r="Y46" t="s">
        <v>51</v>
      </c>
      <c r="AA46" t="s">
        <v>34</v>
      </c>
    </row>
    <row r="47" spans="1:27">
      <c r="A47" s="9" t="s">
        <v>66</v>
      </c>
      <c r="B47" s="1">
        <v>42296.947222222225</v>
      </c>
      <c r="C47" t="s">
        <v>67</v>
      </c>
      <c r="D47" t="s">
        <v>68</v>
      </c>
      <c r="E47" t="s">
        <v>152</v>
      </c>
      <c r="F47" t="s">
        <v>30</v>
      </c>
      <c r="G47" t="s">
        <v>57</v>
      </c>
      <c r="H47" t="s">
        <v>252</v>
      </c>
      <c r="I47" t="s">
        <v>333</v>
      </c>
      <c r="J47" s="7" t="s">
        <v>407</v>
      </c>
      <c r="K47" t="s">
        <v>67</v>
      </c>
      <c r="L47" t="s">
        <v>68</v>
      </c>
      <c r="M47" t="s">
        <v>152</v>
      </c>
      <c r="N47" t="s">
        <v>30</v>
      </c>
      <c r="O47" t="s">
        <v>57</v>
      </c>
      <c r="P47" s="2">
        <v>36925</v>
      </c>
      <c r="Q47" t="s">
        <v>333</v>
      </c>
      <c r="S47" t="s">
        <v>48</v>
      </c>
      <c r="U47">
        <v>2380</v>
      </c>
      <c r="V47">
        <v>1</v>
      </c>
      <c r="W47">
        <v>2380</v>
      </c>
      <c r="X47">
        <v>200</v>
      </c>
      <c r="Y47" t="s">
        <v>51</v>
      </c>
      <c r="AA47" t="s">
        <v>34</v>
      </c>
    </row>
    <row r="48" spans="1:27">
      <c r="A48" s="9" t="s">
        <v>69</v>
      </c>
      <c r="B48" s="1">
        <v>42296.948611111111</v>
      </c>
      <c r="C48" t="s">
        <v>67</v>
      </c>
      <c r="D48" t="s">
        <v>70</v>
      </c>
      <c r="E48" t="s">
        <v>153</v>
      </c>
      <c r="F48" t="s">
        <v>30</v>
      </c>
      <c r="G48" t="s">
        <v>57</v>
      </c>
      <c r="H48" t="s">
        <v>253</v>
      </c>
      <c r="I48" t="s">
        <v>334</v>
      </c>
      <c r="J48" s="7" t="s">
        <v>407</v>
      </c>
      <c r="K48" t="s">
        <v>67</v>
      </c>
      <c r="L48" t="s">
        <v>70</v>
      </c>
      <c r="M48" t="s">
        <v>153</v>
      </c>
      <c r="N48" t="s">
        <v>30</v>
      </c>
      <c r="O48" t="s">
        <v>57</v>
      </c>
      <c r="P48" t="s">
        <v>71</v>
      </c>
      <c r="Q48" t="s">
        <v>334</v>
      </c>
      <c r="S48" t="s">
        <v>60</v>
      </c>
      <c r="U48">
        <v>2380</v>
      </c>
      <c r="V48">
        <v>1</v>
      </c>
      <c r="W48">
        <v>2380</v>
      </c>
      <c r="X48">
        <v>200</v>
      </c>
      <c r="Y48" t="s">
        <v>51</v>
      </c>
      <c r="AA48" t="s">
        <v>34</v>
      </c>
    </row>
    <row r="49" spans="1:27">
      <c r="A49" s="9" t="s">
        <v>69</v>
      </c>
      <c r="B49" s="1">
        <v>42296.948611111111</v>
      </c>
      <c r="C49" t="s">
        <v>67</v>
      </c>
      <c r="D49" t="s">
        <v>70</v>
      </c>
      <c r="E49" t="s">
        <v>154</v>
      </c>
      <c r="F49" t="s">
        <v>30</v>
      </c>
      <c r="G49" t="s">
        <v>57</v>
      </c>
      <c r="H49" t="s">
        <v>254</v>
      </c>
      <c r="I49" t="s">
        <v>335</v>
      </c>
      <c r="J49" s="7" t="s">
        <v>407</v>
      </c>
      <c r="K49" t="s">
        <v>67</v>
      </c>
      <c r="L49" t="s">
        <v>70</v>
      </c>
      <c r="M49" t="s">
        <v>154</v>
      </c>
      <c r="N49" t="s">
        <v>30</v>
      </c>
      <c r="O49" t="s">
        <v>57</v>
      </c>
      <c r="P49" t="s">
        <v>71</v>
      </c>
      <c r="Q49" t="s">
        <v>335</v>
      </c>
      <c r="S49" t="s">
        <v>48</v>
      </c>
      <c r="U49">
        <v>2380</v>
      </c>
      <c r="V49">
        <v>1</v>
      </c>
      <c r="W49">
        <v>2380</v>
      </c>
      <c r="X49">
        <v>200</v>
      </c>
      <c r="Y49" t="s">
        <v>51</v>
      </c>
      <c r="AA49" t="s">
        <v>34</v>
      </c>
    </row>
    <row r="50" spans="1:27">
      <c r="A50" s="9" t="s">
        <v>72</v>
      </c>
      <c r="B50" s="1">
        <v>42365.10833333333</v>
      </c>
      <c r="C50" t="s">
        <v>28</v>
      </c>
      <c r="D50" t="s">
        <v>29</v>
      </c>
      <c r="E50" t="s">
        <v>155</v>
      </c>
      <c r="F50" t="s">
        <v>30</v>
      </c>
      <c r="G50" t="s">
        <v>31</v>
      </c>
      <c r="H50" t="s">
        <v>255</v>
      </c>
      <c r="I50" t="s">
        <v>336</v>
      </c>
      <c r="J50" s="7" t="s">
        <v>407</v>
      </c>
      <c r="K50" t="s">
        <v>28</v>
      </c>
      <c r="L50" t="s">
        <v>29</v>
      </c>
      <c r="M50" t="s">
        <v>155</v>
      </c>
      <c r="N50" t="s">
        <v>30</v>
      </c>
      <c r="O50" t="s">
        <v>31</v>
      </c>
      <c r="P50" t="s">
        <v>73</v>
      </c>
      <c r="Q50" t="s">
        <v>336</v>
      </c>
      <c r="S50" t="s">
        <v>74</v>
      </c>
      <c r="U50">
        <v>2380</v>
      </c>
      <c r="V50">
        <v>1</v>
      </c>
      <c r="W50">
        <v>2380</v>
      </c>
      <c r="X50">
        <v>200</v>
      </c>
      <c r="Y50" t="s">
        <v>51</v>
      </c>
      <c r="AA50" t="s">
        <v>34</v>
      </c>
    </row>
    <row r="51" spans="1:27">
      <c r="A51" s="9" t="s">
        <v>75</v>
      </c>
      <c r="B51" s="1">
        <v>42510.90902777778</v>
      </c>
      <c r="C51" t="s">
        <v>88</v>
      </c>
      <c r="D51" t="s">
        <v>89</v>
      </c>
      <c r="E51" t="s">
        <v>156</v>
      </c>
      <c r="F51" t="s">
        <v>30</v>
      </c>
      <c r="G51" t="s">
        <v>43</v>
      </c>
      <c r="H51" t="s">
        <v>256</v>
      </c>
      <c r="I51" t="s">
        <v>337</v>
      </c>
      <c r="J51" s="7" t="s">
        <v>407</v>
      </c>
      <c r="K51" t="s">
        <v>88</v>
      </c>
      <c r="L51" t="s">
        <v>89</v>
      </c>
      <c r="M51" t="s">
        <v>156</v>
      </c>
      <c r="N51" t="s">
        <v>30</v>
      </c>
      <c r="O51" t="s">
        <v>43</v>
      </c>
      <c r="P51" t="s">
        <v>76</v>
      </c>
      <c r="Q51" t="s">
        <v>337</v>
      </c>
      <c r="S51" t="s">
        <v>77</v>
      </c>
      <c r="U51">
        <v>1850</v>
      </c>
      <c r="V51">
        <v>1</v>
      </c>
      <c r="W51">
        <v>1850</v>
      </c>
      <c r="X51">
        <v>200</v>
      </c>
      <c r="Y51" t="s">
        <v>51</v>
      </c>
      <c r="AA51" t="s">
        <v>34</v>
      </c>
    </row>
    <row r="52" spans="1:27">
      <c r="A52" s="9" t="s">
        <v>27</v>
      </c>
      <c r="B52" s="1">
        <v>41870.770138888889</v>
      </c>
      <c r="C52" t="s">
        <v>28</v>
      </c>
      <c r="D52" t="s">
        <v>29</v>
      </c>
      <c r="E52" t="s">
        <v>157</v>
      </c>
      <c r="F52" t="s">
        <v>30</v>
      </c>
      <c r="G52" t="s">
        <v>31</v>
      </c>
      <c r="H52" t="s">
        <v>257</v>
      </c>
      <c r="I52" t="s">
        <v>338</v>
      </c>
      <c r="J52" s="7" t="s">
        <v>407</v>
      </c>
      <c r="K52" t="s">
        <v>28</v>
      </c>
      <c r="L52" t="s">
        <v>29</v>
      </c>
      <c r="M52" t="s">
        <v>157</v>
      </c>
      <c r="N52" t="s">
        <v>30</v>
      </c>
      <c r="O52" t="s">
        <v>31</v>
      </c>
      <c r="P52" t="s">
        <v>105</v>
      </c>
      <c r="Q52" t="s">
        <v>338</v>
      </c>
      <c r="S52" t="s">
        <v>32</v>
      </c>
      <c r="U52">
        <v>2380</v>
      </c>
      <c r="V52">
        <v>1</v>
      </c>
      <c r="W52">
        <v>2380</v>
      </c>
      <c r="X52">
        <v>0</v>
      </c>
      <c r="Y52" t="s">
        <v>33</v>
      </c>
      <c r="AA52" t="s">
        <v>34</v>
      </c>
    </row>
    <row r="53" spans="1:27">
      <c r="A53" s="9" t="s">
        <v>35</v>
      </c>
      <c r="B53" s="1">
        <v>41912.788194444445</v>
      </c>
      <c r="C53" t="s">
        <v>36</v>
      </c>
      <c r="D53" t="s">
        <v>37</v>
      </c>
      <c r="E53" t="s">
        <v>158</v>
      </c>
      <c r="F53" t="s">
        <v>30</v>
      </c>
      <c r="G53" t="s">
        <v>31</v>
      </c>
      <c r="H53" t="s">
        <v>258</v>
      </c>
      <c r="I53" t="s">
        <v>339</v>
      </c>
      <c r="J53" s="7" t="s">
        <v>407</v>
      </c>
      <c r="K53" t="s">
        <v>36</v>
      </c>
      <c r="L53" t="s">
        <v>37</v>
      </c>
      <c r="M53" t="s">
        <v>158</v>
      </c>
      <c r="N53" t="s">
        <v>30</v>
      </c>
      <c r="O53" t="s">
        <v>31</v>
      </c>
      <c r="P53" t="s">
        <v>38</v>
      </c>
      <c r="Q53" t="s">
        <v>339</v>
      </c>
      <c r="S53" t="s">
        <v>39</v>
      </c>
      <c r="T53" t="s">
        <v>40</v>
      </c>
      <c r="U53">
        <v>100</v>
      </c>
      <c r="V53">
        <v>1</v>
      </c>
      <c r="W53">
        <v>100</v>
      </c>
      <c r="X53">
        <v>0</v>
      </c>
      <c r="Y53" t="s">
        <v>33</v>
      </c>
      <c r="AA53" t="s">
        <v>34</v>
      </c>
    </row>
    <row r="54" spans="1:27">
      <c r="A54" s="9" t="s">
        <v>41</v>
      </c>
      <c r="B54" s="1">
        <v>41920.809027777781</v>
      </c>
      <c r="C54" t="s">
        <v>28</v>
      </c>
      <c r="D54" t="s">
        <v>42</v>
      </c>
      <c r="E54" t="s">
        <v>159</v>
      </c>
      <c r="F54" t="s">
        <v>30</v>
      </c>
      <c r="G54" t="s">
        <v>43</v>
      </c>
      <c r="H54" t="s">
        <v>259</v>
      </c>
      <c r="I54" t="s">
        <v>340</v>
      </c>
      <c r="J54" s="7" t="s">
        <v>407</v>
      </c>
      <c r="K54" t="s">
        <v>28</v>
      </c>
      <c r="L54" t="s">
        <v>42</v>
      </c>
      <c r="M54" t="s">
        <v>159</v>
      </c>
      <c r="N54" t="s">
        <v>30</v>
      </c>
      <c r="O54" t="s">
        <v>43</v>
      </c>
      <c r="P54" s="2">
        <v>36954</v>
      </c>
      <c r="Q54" t="s">
        <v>340</v>
      </c>
      <c r="S54" t="s">
        <v>44</v>
      </c>
      <c r="U54">
        <v>100</v>
      </c>
      <c r="V54">
        <v>1</v>
      </c>
      <c r="W54">
        <v>100</v>
      </c>
      <c r="X54">
        <v>0</v>
      </c>
      <c r="Y54" t="s">
        <v>33</v>
      </c>
      <c r="AA54" t="s">
        <v>34</v>
      </c>
    </row>
    <row r="55" spans="1:27">
      <c r="A55" s="9" t="s">
        <v>45</v>
      </c>
      <c r="B55" s="1">
        <v>42017.817361111112</v>
      </c>
      <c r="C55" t="s">
        <v>46</v>
      </c>
      <c r="D55" t="s">
        <v>47</v>
      </c>
      <c r="E55" t="s">
        <v>160</v>
      </c>
      <c r="F55" t="s">
        <v>30</v>
      </c>
      <c r="G55" t="s">
        <v>43</v>
      </c>
      <c r="H55" t="s">
        <v>260</v>
      </c>
      <c r="I55" t="s">
        <v>341</v>
      </c>
      <c r="J55" s="7" t="s">
        <v>407</v>
      </c>
      <c r="K55" t="s">
        <v>46</v>
      </c>
      <c r="L55" t="s">
        <v>47</v>
      </c>
      <c r="M55" t="s">
        <v>160</v>
      </c>
      <c r="N55" t="s">
        <v>30</v>
      </c>
      <c r="O55" t="s">
        <v>43</v>
      </c>
      <c r="P55" s="2">
        <v>36892</v>
      </c>
      <c r="Q55" t="s">
        <v>341</v>
      </c>
      <c r="S55" t="s">
        <v>48</v>
      </c>
      <c r="U55">
        <v>2380</v>
      </c>
      <c r="V55">
        <v>1</v>
      </c>
      <c r="W55">
        <v>2380</v>
      </c>
      <c r="X55">
        <v>0</v>
      </c>
      <c r="Y55" t="s">
        <v>33</v>
      </c>
      <c r="AA55" t="s">
        <v>34</v>
      </c>
    </row>
    <row r="56" spans="1:27">
      <c r="A56" s="9" t="s">
        <v>49</v>
      </c>
      <c r="B56" s="1">
        <v>42296.890972222223</v>
      </c>
      <c r="C56" t="s">
        <v>28</v>
      </c>
      <c r="D56" t="s">
        <v>29</v>
      </c>
      <c r="E56" t="s">
        <v>161</v>
      </c>
      <c r="F56" t="s">
        <v>30</v>
      </c>
      <c r="G56" t="s">
        <v>31</v>
      </c>
      <c r="H56" t="s">
        <v>261</v>
      </c>
      <c r="I56" t="s">
        <v>342</v>
      </c>
      <c r="J56" s="7" t="s">
        <v>407</v>
      </c>
      <c r="K56" t="s">
        <v>28</v>
      </c>
      <c r="L56" t="s">
        <v>29</v>
      </c>
      <c r="M56" t="s">
        <v>161</v>
      </c>
      <c r="N56" t="s">
        <v>30</v>
      </c>
      <c r="O56" t="s">
        <v>31</v>
      </c>
      <c r="P56" s="2">
        <v>36923</v>
      </c>
      <c r="Q56" t="s">
        <v>342</v>
      </c>
      <c r="S56" t="s">
        <v>50</v>
      </c>
      <c r="U56">
        <v>2380</v>
      </c>
      <c r="V56">
        <v>1</v>
      </c>
      <c r="W56">
        <v>2380</v>
      </c>
      <c r="X56">
        <v>200</v>
      </c>
      <c r="Y56" t="s">
        <v>51</v>
      </c>
      <c r="AA56" t="s">
        <v>34</v>
      </c>
    </row>
    <row r="57" spans="1:27">
      <c r="A57" s="9" t="s">
        <v>49</v>
      </c>
      <c r="B57" s="1">
        <v>42296.890972222223</v>
      </c>
      <c r="C57" t="s">
        <v>28</v>
      </c>
      <c r="D57" t="s">
        <v>29</v>
      </c>
      <c r="E57" t="s">
        <v>162</v>
      </c>
      <c r="F57" t="s">
        <v>30</v>
      </c>
      <c r="G57" t="s">
        <v>31</v>
      </c>
      <c r="H57" t="s">
        <v>262</v>
      </c>
      <c r="I57" t="s">
        <v>343</v>
      </c>
      <c r="J57" s="7" t="s">
        <v>407</v>
      </c>
      <c r="K57" t="s">
        <v>28</v>
      </c>
      <c r="L57" t="s">
        <v>29</v>
      </c>
      <c r="M57" t="s">
        <v>162</v>
      </c>
      <c r="N57" t="s">
        <v>30</v>
      </c>
      <c r="O57" t="s">
        <v>31</v>
      </c>
      <c r="P57" s="2">
        <v>36923</v>
      </c>
      <c r="Q57" t="s">
        <v>343</v>
      </c>
      <c r="S57" t="s">
        <v>48</v>
      </c>
      <c r="U57">
        <v>2380</v>
      </c>
      <c r="V57">
        <v>1</v>
      </c>
      <c r="W57">
        <v>2380</v>
      </c>
      <c r="X57">
        <v>200</v>
      </c>
      <c r="Y57" t="s">
        <v>51</v>
      </c>
      <c r="AA57" t="s">
        <v>34</v>
      </c>
    </row>
    <row r="58" spans="1:27">
      <c r="A58" s="9" t="s">
        <v>52</v>
      </c>
      <c r="B58" s="1">
        <v>42296.911111111112</v>
      </c>
      <c r="C58" t="s">
        <v>28</v>
      </c>
      <c r="D58" t="s">
        <v>29</v>
      </c>
      <c r="E58" t="s">
        <v>163</v>
      </c>
      <c r="F58" t="s">
        <v>30</v>
      </c>
      <c r="G58" t="s">
        <v>31</v>
      </c>
      <c r="H58" t="s">
        <v>263</v>
      </c>
      <c r="I58" t="s">
        <v>344</v>
      </c>
      <c r="J58" s="7" t="s">
        <v>407</v>
      </c>
      <c r="K58" t="s">
        <v>28</v>
      </c>
      <c r="L58" t="s">
        <v>29</v>
      </c>
      <c r="M58" t="s">
        <v>163</v>
      </c>
      <c r="N58" t="s">
        <v>30</v>
      </c>
      <c r="O58" t="s">
        <v>31</v>
      </c>
      <c r="P58" s="2">
        <v>36925</v>
      </c>
      <c r="Q58" t="s">
        <v>344</v>
      </c>
      <c r="S58" t="s">
        <v>32</v>
      </c>
      <c r="U58">
        <v>2380</v>
      </c>
      <c r="V58">
        <v>2</v>
      </c>
      <c r="W58">
        <v>4760</v>
      </c>
      <c r="X58">
        <v>200</v>
      </c>
      <c r="Y58" t="s">
        <v>51</v>
      </c>
      <c r="AA58" t="s">
        <v>34</v>
      </c>
    </row>
    <row r="59" spans="1:27">
      <c r="A59" s="9" t="s">
        <v>53</v>
      </c>
      <c r="B59" s="1">
        <v>42296.912499999999</v>
      </c>
      <c r="C59" t="s">
        <v>28</v>
      </c>
      <c r="D59" t="s">
        <v>29</v>
      </c>
      <c r="E59" t="s">
        <v>164</v>
      </c>
      <c r="F59" t="s">
        <v>30</v>
      </c>
      <c r="G59" t="s">
        <v>31</v>
      </c>
      <c r="H59" t="s">
        <v>264</v>
      </c>
      <c r="I59" t="s">
        <v>345</v>
      </c>
      <c r="J59" s="7" t="s">
        <v>407</v>
      </c>
      <c r="K59" t="s">
        <v>28</v>
      </c>
      <c r="L59" t="s">
        <v>29</v>
      </c>
      <c r="M59" t="s">
        <v>164</v>
      </c>
      <c r="N59" t="s">
        <v>30</v>
      </c>
      <c r="O59" t="s">
        <v>31</v>
      </c>
      <c r="P59" s="2">
        <v>36925</v>
      </c>
      <c r="Q59" t="s">
        <v>345</v>
      </c>
      <c r="S59" t="s">
        <v>32</v>
      </c>
      <c r="U59">
        <v>2380</v>
      </c>
      <c r="V59">
        <v>3</v>
      </c>
      <c r="W59">
        <v>7140</v>
      </c>
      <c r="X59">
        <v>200</v>
      </c>
      <c r="Y59" t="s">
        <v>51</v>
      </c>
      <c r="AA59" t="s">
        <v>34</v>
      </c>
    </row>
    <row r="60" spans="1:27">
      <c r="A60" s="9" t="s">
        <v>54</v>
      </c>
      <c r="B60" s="1">
        <v>42296.913194444445</v>
      </c>
      <c r="C60" t="s">
        <v>28</v>
      </c>
      <c r="D60" t="s">
        <v>29</v>
      </c>
      <c r="E60" t="s">
        <v>165</v>
      </c>
      <c r="F60" t="s">
        <v>30</v>
      </c>
      <c r="G60" t="s">
        <v>31</v>
      </c>
      <c r="H60" t="s">
        <v>265</v>
      </c>
      <c r="I60" t="s">
        <v>346</v>
      </c>
      <c r="J60" s="7" t="s">
        <v>407</v>
      </c>
      <c r="K60" t="s">
        <v>28</v>
      </c>
      <c r="L60" t="s">
        <v>29</v>
      </c>
      <c r="M60" t="s">
        <v>165</v>
      </c>
      <c r="N60" t="s">
        <v>30</v>
      </c>
      <c r="O60" t="s">
        <v>31</v>
      </c>
      <c r="P60">
        <v>123</v>
      </c>
      <c r="Q60" t="s">
        <v>346</v>
      </c>
      <c r="S60" t="s">
        <v>32</v>
      </c>
      <c r="U60">
        <v>2380</v>
      </c>
      <c r="V60">
        <v>2</v>
      </c>
      <c r="W60">
        <v>4760</v>
      </c>
      <c r="X60">
        <v>200</v>
      </c>
      <c r="Y60" t="s">
        <v>51</v>
      </c>
      <c r="AA60" t="s">
        <v>34</v>
      </c>
    </row>
    <row r="61" spans="1:27">
      <c r="A61" s="9" t="s">
        <v>55</v>
      </c>
      <c r="B61" s="1">
        <v>42296.914583333331</v>
      </c>
      <c r="C61" t="s">
        <v>28</v>
      </c>
      <c r="D61" t="s">
        <v>29</v>
      </c>
      <c r="E61" t="s">
        <v>166</v>
      </c>
      <c r="F61" t="s">
        <v>30</v>
      </c>
      <c r="G61" t="s">
        <v>31</v>
      </c>
      <c r="H61" t="s">
        <v>266</v>
      </c>
      <c r="I61" t="s">
        <v>347</v>
      </c>
      <c r="J61" s="7" t="s">
        <v>407</v>
      </c>
      <c r="K61" t="s">
        <v>28</v>
      </c>
      <c r="L61" t="s">
        <v>29</v>
      </c>
      <c r="M61" t="s">
        <v>166</v>
      </c>
      <c r="N61" t="s">
        <v>30</v>
      </c>
      <c r="O61" t="s">
        <v>31</v>
      </c>
      <c r="P61" s="2">
        <v>36925</v>
      </c>
      <c r="Q61" t="s">
        <v>347</v>
      </c>
      <c r="S61" t="s">
        <v>32</v>
      </c>
      <c r="U61">
        <v>2380</v>
      </c>
      <c r="V61">
        <v>1</v>
      </c>
      <c r="W61">
        <v>2380</v>
      </c>
      <c r="X61">
        <v>200</v>
      </c>
      <c r="Y61" t="s">
        <v>51</v>
      </c>
      <c r="AA61" t="s">
        <v>34</v>
      </c>
    </row>
    <row r="62" spans="1:27">
      <c r="A62" s="9" t="s">
        <v>56</v>
      </c>
      <c r="B62" s="1">
        <v>42296.927083333336</v>
      </c>
      <c r="C62" t="s">
        <v>28</v>
      </c>
      <c r="D62" t="s">
        <v>29</v>
      </c>
      <c r="E62" t="s">
        <v>167</v>
      </c>
      <c r="F62" t="s">
        <v>30</v>
      </c>
      <c r="G62" t="s">
        <v>57</v>
      </c>
      <c r="H62" t="s">
        <v>267</v>
      </c>
      <c r="I62" t="s">
        <v>348</v>
      </c>
      <c r="J62" s="7" t="s">
        <v>407</v>
      </c>
      <c r="K62" t="s">
        <v>28</v>
      </c>
      <c r="L62" t="s">
        <v>29</v>
      </c>
      <c r="M62" t="s">
        <v>167</v>
      </c>
      <c r="N62" t="s">
        <v>30</v>
      </c>
      <c r="O62" t="s">
        <v>57</v>
      </c>
      <c r="P62" s="2">
        <v>36925</v>
      </c>
      <c r="Q62" t="s">
        <v>348</v>
      </c>
      <c r="S62" t="s">
        <v>32</v>
      </c>
      <c r="U62">
        <v>2380</v>
      </c>
      <c r="V62">
        <v>1</v>
      </c>
      <c r="W62">
        <v>2380</v>
      </c>
      <c r="X62">
        <v>200</v>
      </c>
      <c r="Y62" t="s">
        <v>51</v>
      </c>
      <c r="AA62" t="s">
        <v>34</v>
      </c>
    </row>
    <row r="63" spans="1:27">
      <c r="A63" s="9" t="s">
        <v>58</v>
      </c>
      <c r="B63" s="1">
        <v>42296.932638888888</v>
      </c>
      <c r="C63" t="s">
        <v>28</v>
      </c>
      <c r="D63" t="s">
        <v>29</v>
      </c>
      <c r="E63" t="s">
        <v>168</v>
      </c>
      <c r="F63" t="s">
        <v>30</v>
      </c>
      <c r="G63" t="s">
        <v>57</v>
      </c>
      <c r="H63" t="s">
        <v>268</v>
      </c>
      <c r="I63" t="s">
        <v>349</v>
      </c>
      <c r="J63" s="7" t="s">
        <v>407</v>
      </c>
      <c r="K63" t="s">
        <v>28</v>
      </c>
      <c r="L63" t="s">
        <v>29</v>
      </c>
      <c r="M63" t="s">
        <v>168</v>
      </c>
      <c r="N63" t="s">
        <v>30</v>
      </c>
      <c r="O63" t="s">
        <v>57</v>
      </c>
      <c r="P63" s="2">
        <v>36925</v>
      </c>
      <c r="Q63" t="s">
        <v>349</v>
      </c>
      <c r="S63" t="s">
        <v>59</v>
      </c>
      <c r="U63">
        <v>2380</v>
      </c>
      <c r="V63">
        <v>1</v>
      </c>
      <c r="W63">
        <v>2380</v>
      </c>
      <c r="X63">
        <v>200</v>
      </c>
      <c r="Y63" t="s">
        <v>51</v>
      </c>
      <c r="AA63" t="s">
        <v>34</v>
      </c>
    </row>
    <row r="64" spans="1:27">
      <c r="A64" s="9" t="s">
        <v>58</v>
      </c>
      <c r="B64" s="1">
        <v>42296.932638888888</v>
      </c>
      <c r="C64" t="s">
        <v>28</v>
      </c>
      <c r="D64" t="s">
        <v>29</v>
      </c>
      <c r="E64" t="s">
        <v>169</v>
      </c>
      <c r="F64" t="s">
        <v>30</v>
      </c>
      <c r="G64" t="s">
        <v>57</v>
      </c>
      <c r="H64" t="s">
        <v>269</v>
      </c>
      <c r="I64" t="s">
        <v>350</v>
      </c>
      <c r="J64" s="7" t="s">
        <v>407</v>
      </c>
      <c r="K64" t="s">
        <v>28</v>
      </c>
      <c r="L64" t="s">
        <v>29</v>
      </c>
      <c r="M64" t="s">
        <v>169</v>
      </c>
      <c r="N64" t="s">
        <v>30</v>
      </c>
      <c r="O64" t="s">
        <v>57</v>
      </c>
      <c r="P64" s="2">
        <v>36925</v>
      </c>
      <c r="Q64" t="s">
        <v>350</v>
      </c>
      <c r="S64" t="s">
        <v>60</v>
      </c>
      <c r="U64">
        <v>2380</v>
      </c>
      <c r="V64">
        <v>1</v>
      </c>
      <c r="W64">
        <v>2380</v>
      </c>
      <c r="X64">
        <v>200</v>
      </c>
      <c r="Y64" t="s">
        <v>51</v>
      </c>
      <c r="AA64" t="s">
        <v>34</v>
      </c>
    </row>
    <row r="65" spans="1:27">
      <c r="A65" s="9" t="s">
        <v>61</v>
      </c>
      <c r="B65" s="1">
        <v>42296.933333333334</v>
      </c>
      <c r="C65" t="s">
        <v>28</v>
      </c>
      <c r="D65" t="s">
        <v>29</v>
      </c>
      <c r="E65" t="s">
        <v>170</v>
      </c>
      <c r="F65" t="s">
        <v>30</v>
      </c>
      <c r="G65" t="s">
        <v>57</v>
      </c>
      <c r="H65" t="s">
        <v>270</v>
      </c>
      <c r="I65" t="s">
        <v>351</v>
      </c>
      <c r="J65" s="7" t="s">
        <v>407</v>
      </c>
      <c r="K65" t="s">
        <v>28</v>
      </c>
      <c r="L65" t="s">
        <v>29</v>
      </c>
      <c r="M65" t="s">
        <v>170</v>
      </c>
      <c r="N65" t="s">
        <v>30</v>
      </c>
      <c r="O65" t="s">
        <v>57</v>
      </c>
      <c r="P65" t="s">
        <v>62</v>
      </c>
      <c r="Q65" t="s">
        <v>351</v>
      </c>
      <c r="S65" t="s">
        <v>60</v>
      </c>
      <c r="U65">
        <v>2380</v>
      </c>
      <c r="V65">
        <v>1</v>
      </c>
      <c r="W65">
        <v>2380</v>
      </c>
      <c r="X65">
        <v>200</v>
      </c>
      <c r="Y65" t="s">
        <v>51</v>
      </c>
      <c r="AA65" t="s">
        <v>34</v>
      </c>
    </row>
    <row r="66" spans="1:27">
      <c r="A66" s="9" t="s">
        <v>61</v>
      </c>
      <c r="B66" s="1">
        <v>42296.933333333334</v>
      </c>
      <c r="C66" t="s">
        <v>28</v>
      </c>
      <c r="D66" t="s">
        <v>29</v>
      </c>
      <c r="E66" t="s">
        <v>171</v>
      </c>
      <c r="F66" t="s">
        <v>30</v>
      </c>
      <c r="G66" t="s">
        <v>57</v>
      </c>
      <c r="H66" t="s">
        <v>271</v>
      </c>
      <c r="I66" t="s">
        <v>352</v>
      </c>
      <c r="J66" s="7" t="s">
        <v>407</v>
      </c>
      <c r="K66" t="s">
        <v>28</v>
      </c>
      <c r="L66" t="s">
        <v>29</v>
      </c>
      <c r="M66" t="s">
        <v>171</v>
      </c>
      <c r="N66" t="s">
        <v>30</v>
      </c>
      <c r="O66" t="s">
        <v>57</v>
      </c>
      <c r="P66" t="s">
        <v>62</v>
      </c>
      <c r="Q66" t="s">
        <v>352</v>
      </c>
      <c r="S66" t="s">
        <v>59</v>
      </c>
      <c r="U66">
        <v>2380</v>
      </c>
      <c r="V66">
        <v>1</v>
      </c>
      <c r="W66">
        <v>2380</v>
      </c>
      <c r="X66">
        <v>200</v>
      </c>
      <c r="Y66" t="s">
        <v>51</v>
      </c>
      <c r="AA66" t="s">
        <v>34</v>
      </c>
    </row>
    <row r="67" spans="1:27">
      <c r="A67" s="9" t="s">
        <v>63</v>
      </c>
      <c r="B67" s="1">
        <v>42296.93472222222</v>
      </c>
      <c r="C67" t="s">
        <v>28</v>
      </c>
      <c r="D67" t="s">
        <v>29</v>
      </c>
      <c r="E67" t="s">
        <v>172</v>
      </c>
      <c r="F67" t="s">
        <v>30</v>
      </c>
      <c r="G67" t="s">
        <v>57</v>
      </c>
      <c r="H67" t="s">
        <v>272</v>
      </c>
      <c r="I67" t="s">
        <v>353</v>
      </c>
      <c r="J67" s="7" t="s">
        <v>407</v>
      </c>
      <c r="K67" t="s">
        <v>28</v>
      </c>
      <c r="L67" t="s">
        <v>29</v>
      </c>
      <c r="M67" t="s">
        <v>172</v>
      </c>
      <c r="N67" t="s">
        <v>30</v>
      </c>
      <c r="O67" t="s">
        <v>57</v>
      </c>
      <c r="P67" s="2">
        <v>36925</v>
      </c>
      <c r="Q67" t="s">
        <v>353</v>
      </c>
      <c r="S67" t="s">
        <v>60</v>
      </c>
      <c r="U67">
        <v>2380</v>
      </c>
      <c r="V67">
        <v>1</v>
      </c>
      <c r="W67">
        <v>2380</v>
      </c>
      <c r="X67">
        <v>200</v>
      </c>
      <c r="Y67" t="s">
        <v>51</v>
      </c>
      <c r="AA67" t="s">
        <v>34</v>
      </c>
    </row>
    <row r="68" spans="1:27">
      <c r="A68" s="9" t="s">
        <v>63</v>
      </c>
      <c r="B68" s="1">
        <v>42296.93472222222</v>
      </c>
      <c r="C68" t="s">
        <v>28</v>
      </c>
      <c r="D68" t="s">
        <v>29</v>
      </c>
      <c r="E68" t="s">
        <v>173</v>
      </c>
      <c r="F68" t="s">
        <v>30</v>
      </c>
      <c r="G68" t="s">
        <v>57</v>
      </c>
      <c r="H68" t="s">
        <v>273</v>
      </c>
      <c r="I68" t="s">
        <v>354</v>
      </c>
      <c r="J68" s="7" t="s">
        <v>407</v>
      </c>
      <c r="K68" t="s">
        <v>28</v>
      </c>
      <c r="L68" t="s">
        <v>29</v>
      </c>
      <c r="M68" t="s">
        <v>173</v>
      </c>
      <c r="N68" t="s">
        <v>30</v>
      </c>
      <c r="O68" t="s">
        <v>57</v>
      </c>
      <c r="P68" s="2">
        <v>36925</v>
      </c>
      <c r="Q68" t="s">
        <v>354</v>
      </c>
      <c r="S68" t="s">
        <v>50</v>
      </c>
      <c r="U68">
        <v>2380</v>
      </c>
      <c r="V68">
        <v>1</v>
      </c>
      <c r="W68">
        <v>2380</v>
      </c>
      <c r="X68">
        <v>200</v>
      </c>
      <c r="Y68" t="s">
        <v>51</v>
      </c>
      <c r="AA68" t="s">
        <v>34</v>
      </c>
    </row>
    <row r="69" spans="1:27">
      <c r="A69" s="9" t="s">
        <v>64</v>
      </c>
      <c r="B69" s="1">
        <v>42296.946527777778</v>
      </c>
      <c r="C69" t="s">
        <v>65</v>
      </c>
      <c r="D69" t="s">
        <v>29</v>
      </c>
      <c r="E69" t="s">
        <v>174</v>
      </c>
      <c r="F69" t="s">
        <v>30</v>
      </c>
      <c r="G69" t="s">
        <v>57</v>
      </c>
      <c r="H69" t="s">
        <v>274</v>
      </c>
      <c r="I69" t="s">
        <v>355</v>
      </c>
      <c r="J69" s="7" t="s">
        <v>407</v>
      </c>
      <c r="K69" t="s">
        <v>65</v>
      </c>
      <c r="L69" t="s">
        <v>29</v>
      </c>
      <c r="M69" t="s">
        <v>174</v>
      </c>
      <c r="N69" t="s">
        <v>30</v>
      </c>
      <c r="O69" t="s">
        <v>57</v>
      </c>
      <c r="P69" s="2">
        <v>36925</v>
      </c>
      <c r="Q69" t="s">
        <v>355</v>
      </c>
      <c r="S69" t="s">
        <v>48</v>
      </c>
      <c r="U69">
        <v>2380</v>
      </c>
      <c r="V69">
        <v>1</v>
      </c>
      <c r="W69">
        <v>2380</v>
      </c>
      <c r="X69">
        <v>200</v>
      </c>
      <c r="Y69" t="s">
        <v>51</v>
      </c>
      <c r="AA69" t="s">
        <v>34</v>
      </c>
    </row>
    <row r="70" spans="1:27">
      <c r="A70" s="9" t="s">
        <v>64</v>
      </c>
      <c r="B70" s="1">
        <v>42296.946527777778</v>
      </c>
      <c r="C70" t="s">
        <v>65</v>
      </c>
      <c r="D70" t="s">
        <v>29</v>
      </c>
      <c r="E70" t="s">
        <v>175</v>
      </c>
      <c r="F70" t="s">
        <v>30</v>
      </c>
      <c r="G70" t="s">
        <v>57</v>
      </c>
      <c r="H70" t="s">
        <v>275</v>
      </c>
      <c r="I70" t="s">
        <v>356</v>
      </c>
      <c r="J70" s="7" t="s">
        <v>407</v>
      </c>
      <c r="K70" t="s">
        <v>65</v>
      </c>
      <c r="L70" t="s">
        <v>29</v>
      </c>
      <c r="M70" t="s">
        <v>175</v>
      </c>
      <c r="N70" t="s">
        <v>30</v>
      </c>
      <c r="O70" t="s">
        <v>57</v>
      </c>
      <c r="P70" s="2">
        <v>36925</v>
      </c>
      <c r="Q70" t="s">
        <v>356</v>
      </c>
      <c r="S70" t="s">
        <v>60</v>
      </c>
      <c r="U70">
        <v>2380</v>
      </c>
      <c r="V70">
        <v>1</v>
      </c>
      <c r="W70">
        <v>2380</v>
      </c>
      <c r="X70">
        <v>200</v>
      </c>
      <c r="Y70" t="s">
        <v>51</v>
      </c>
      <c r="AA70" t="s">
        <v>34</v>
      </c>
    </row>
    <row r="71" spans="1:27">
      <c r="A71" s="9" t="s">
        <v>66</v>
      </c>
      <c r="B71" s="1">
        <v>42296.947222222225</v>
      </c>
      <c r="C71" t="s">
        <v>67</v>
      </c>
      <c r="D71" t="s">
        <v>68</v>
      </c>
      <c r="E71" t="s">
        <v>176</v>
      </c>
      <c r="F71" t="s">
        <v>30</v>
      </c>
      <c r="G71" t="s">
        <v>57</v>
      </c>
      <c r="H71" t="s">
        <v>276</v>
      </c>
      <c r="I71" t="s">
        <v>357</v>
      </c>
      <c r="J71" s="7" t="s">
        <v>407</v>
      </c>
      <c r="K71" t="s">
        <v>67</v>
      </c>
      <c r="L71" t="s">
        <v>68</v>
      </c>
      <c r="M71" t="s">
        <v>176</v>
      </c>
      <c r="N71" t="s">
        <v>30</v>
      </c>
      <c r="O71" t="s">
        <v>57</v>
      </c>
      <c r="P71" s="2">
        <v>36925</v>
      </c>
      <c r="Q71" t="s">
        <v>357</v>
      </c>
      <c r="S71" t="s">
        <v>60</v>
      </c>
      <c r="U71">
        <v>2380</v>
      </c>
      <c r="V71">
        <v>1</v>
      </c>
      <c r="W71">
        <v>2380</v>
      </c>
      <c r="X71">
        <v>200</v>
      </c>
      <c r="Y71" t="s">
        <v>51</v>
      </c>
      <c r="AA71" t="s">
        <v>34</v>
      </c>
    </row>
    <row r="72" spans="1:27">
      <c r="A72" s="9" t="s">
        <v>66</v>
      </c>
      <c r="B72" s="1">
        <v>42296.947222222225</v>
      </c>
      <c r="C72" t="s">
        <v>67</v>
      </c>
      <c r="D72" t="s">
        <v>68</v>
      </c>
      <c r="E72" t="s">
        <v>177</v>
      </c>
      <c r="F72" t="s">
        <v>30</v>
      </c>
      <c r="G72" t="s">
        <v>57</v>
      </c>
      <c r="H72" t="s">
        <v>277</v>
      </c>
      <c r="I72" t="s">
        <v>358</v>
      </c>
      <c r="J72" s="7" t="s">
        <v>407</v>
      </c>
      <c r="K72" t="s">
        <v>67</v>
      </c>
      <c r="L72" t="s">
        <v>68</v>
      </c>
      <c r="M72" t="s">
        <v>177</v>
      </c>
      <c r="N72" t="s">
        <v>30</v>
      </c>
      <c r="O72" t="s">
        <v>57</v>
      </c>
      <c r="P72" s="2">
        <v>36925</v>
      </c>
      <c r="Q72" t="s">
        <v>358</v>
      </c>
      <c r="S72" t="s">
        <v>48</v>
      </c>
      <c r="U72">
        <v>2380</v>
      </c>
      <c r="V72">
        <v>1</v>
      </c>
      <c r="W72">
        <v>2380</v>
      </c>
      <c r="X72">
        <v>200</v>
      </c>
      <c r="Y72" t="s">
        <v>51</v>
      </c>
      <c r="AA72" t="s">
        <v>34</v>
      </c>
    </row>
    <row r="73" spans="1:27">
      <c r="A73" s="9" t="s">
        <v>69</v>
      </c>
      <c r="B73" s="1">
        <v>42296.948611111111</v>
      </c>
      <c r="C73" t="s">
        <v>67</v>
      </c>
      <c r="D73" t="s">
        <v>70</v>
      </c>
      <c r="E73" t="s">
        <v>178</v>
      </c>
      <c r="F73" t="s">
        <v>30</v>
      </c>
      <c r="G73" t="s">
        <v>57</v>
      </c>
      <c r="H73" t="s">
        <v>278</v>
      </c>
      <c r="I73" t="s">
        <v>359</v>
      </c>
      <c r="J73" s="7" t="s">
        <v>407</v>
      </c>
      <c r="K73" t="s">
        <v>67</v>
      </c>
      <c r="L73" t="s">
        <v>70</v>
      </c>
      <c r="M73" t="s">
        <v>178</v>
      </c>
      <c r="N73" t="s">
        <v>30</v>
      </c>
      <c r="O73" t="s">
        <v>57</v>
      </c>
      <c r="P73" t="s">
        <v>71</v>
      </c>
      <c r="Q73" t="s">
        <v>359</v>
      </c>
      <c r="S73" t="s">
        <v>60</v>
      </c>
      <c r="U73">
        <v>2380</v>
      </c>
      <c r="V73">
        <v>1</v>
      </c>
      <c r="W73">
        <v>2380</v>
      </c>
      <c r="X73">
        <v>200</v>
      </c>
      <c r="Y73" t="s">
        <v>51</v>
      </c>
      <c r="AA73" t="s">
        <v>34</v>
      </c>
    </row>
    <row r="74" spans="1:27">
      <c r="A74" s="9" t="s">
        <v>69</v>
      </c>
      <c r="B74" s="1">
        <v>42296.948611111111</v>
      </c>
      <c r="C74" t="s">
        <v>67</v>
      </c>
      <c r="D74" t="s">
        <v>70</v>
      </c>
      <c r="E74" t="s">
        <v>179</v>
      </c>
      <c r="F74" t="s">
        <v>30</v>
      </c>
      <c r="G74" t="s">
        <v>57</v>
      </c>
      <c r="H74" t="s">
        <v>279</v>
      </c>
      <c r="I74" t="s">
        <v>360</v>
      </c>
      <c r="J74" s="7" t="s">
        <v>407</v>
      </c>
      <c r="K74" t="s">
        <v>67</v>
      </c>
      <c r="L74" t="s">
        <v>70</v>
      </c>
      <c r="M74" t="s">
        <v>179</v>
      </c>
      <c r="N74" t="s">
        <v>30</v>
      </c>
      <c r="O74" t="s">
        <v>57</v>
      </c>
      <c r="P74" t="s">
        <v>71</v>
      </c>
      <c r="Q74" t="s">
        <v>360</v>
      </c>
      <c r="S74" t="s">
        <v>48</v>
      </c>
      <c r="U74">
        <v>2380</v>
      </c>
      <c r="V74">
        <v>1</v>
      </c>
      <c r="W74">
        <v>2380</v>
      </c>
      <c r="X74">
        <v>200</v>
      </c>
      <c r="Y74" t="s">
        <v>51</v>
      </c>
      <c r="AA74" t="s">
        <v>34</v>
      </c>
    </row>
    <row r="75" spans="1:27">
      <c r="A75" s="9" t="s">
        <v>72</v>
      </c>
      <c r="B75" s="1">
        <v>42365.10833333333</v>
      </c>
      <c r="C75" t="s">
        <v>28</v>
      </c>
      <c r="D75" t="s">
        <v>29</v>
      </c>
      <c r="E75" t="s">
        <v>180</v>
      </c>
      <c r="F75" t="s">
        <v>30</v>
      </c>
      <c r="G75" t="s">
        <v>31</v>
      </c>
      <c r="H75" t="s">
        <v>280</v>
      </c>
      <c r="I75" t="s">
        <v>361</v>
      </c>
      <c r="J75" s="7" t="s">
        <v>407</v>
      </c>
      <c r="K75" t="s">
        <v>28</v>
      </c>
      <c r="L75" t="s">
        <v>29</v>
      </c>
      <c r="M75" t="s">
        <v>180</v>
      </c>
      <c r="N75" t="s">
        <v>30</v>
      </c>
      <c r="O75" t="s">
        <v>31</v>
      </c>
      <c r="P75" t="s">
        <v>73</v>
      </c>
      <c r="Q75" t="s">
        <v>361</v>
      </c>
      <c r="S75" t="s">
        <v>74</v>
      </c>
      <c r="U75">
        <v>2380</v>
      </c>
      <c r="V75">
        <v>1</v>
      </c>
      <c r="W75">
        <v>2380</v>
      </c>
      <c r="X75">
        <v>200</v>
      </c>
      <c r="Y75" t="s">
        <v>51</v>
      </c>
      <c r="AA75" t="s">
        <v>34</v>
      </c>
    </row>
    <row r="76" spans="1:27">
      <c r="A76" s="9" t="s">
        <v>75</v>
      </c>
      <c r="B76" s="1">
        <v>42510.90902777778</v>
      </c>
      <c r="C76" t="s">
        <v>88</v>
      </c>
      <c r="D76" t="s">
        <v>89</v>
      </c>
      <c r="E76" t="s">
        <v>181</v>
      </c>
      <c r="F76" t="s">
        <v>30</v>
      </c>
      <c r="G76" t="s">
        <v>43</v>
      </c>
      <c r="H76" t="s">
        <v>281</v>
      </c>
      <c r="I76" t="s">
        <v>362</v>
      </c>
      <c r="J76" s="7" t="s">
        <v>407</v>
      </c>
      <c r="K76" t="s">
        <v>88</v>
      </c>
      <c r="L76" t="s">
        <v>89</v>
      </c>
      <c r="M76" t="s">
        <v>181</v>
      </c>
      <c r="N76" t="s">
        <v>30</v>
      </c>
      <c r="O76" t="s">
        <v>43</v>
      </c>
      <c r="P76" t="s">
        <v>76</v>
      </c>
      <c r="Q76" t="s">
        <v>362</v>
      </c>
      <c r="S76" t="s">
        <v>77</v>
      </c>
      <c r="U76">
        <v>1850</v>
      </c>
      <c r="V76">
        <v>1</v>
      </c>
      <c r="W76">
        <v>1850</v>
      </c>
      <c r="X76">
        <v>200</v>
      </c>
      <c r="Y76" t="s">
        <v>51</v>
      </c>
      <c r="AA76" t="s">
        <v>34</v>
      </c>
    </row>
    <row r="77" spans="1:27">
      <c r="A77" s="9" t="s">
        <v>27</v>
      </c>
      <c r="B77" s="1">
        <v>41870.770138888889</v>
      </c>
      <c r="C77" t="s">
        <v>28</v>
      </c>
      <c r="D77" t="s">
        <v>29</v>
      </c>
      <c r="E77" t="s">
        <v>182</v>
      </c>
      <c r="F77" t="s">
        <v>30</v>
      </c>
      <c r="G77" t="s">
        <v>31</v>
      </c>
      <c r="H77" t="s">
        <v>282</v>
      </c>
      <c r="I77" t="s">
        <v>363</v>
      </c>
      <c r="J77" s="7" t="s">
        <v>407</v>
      </c>
      <c r="K77" t="s">
        <v>28</v>
      </c>
      <c r="L77" t="s">
        <v>29</v>
      </c>
      <c r="M77" t="s">
        <v>182</v>
      </c>
      <c r="N77" t="s">
        <v>30</v>
      </c>
      <c r="O77" t="s">
        <v>31</v>
      </c>
      <c r="P77" t="s">
        <v>105</v>
      </c>
      <c r="Q77" t="s">
        <v>363</v>
      </c>
      <c r="S77" t="s">
        <v>32</v>
      </c>
      <c r="U77">
        <v>2380</v>
      </c>
      <c r="V77">
        <v>1</v>
      </c>
      <c r="W77">
        <v>2380</v>
      </c>
      <c r="X77">
        <v>0</v>
      </c>
      <c r="Y77" t="s">
        <v>33</v>
      </c>
      <c r="AA77" t="s">
        <v>34</v>
      </c>
    </row>
    <row r="78" spans="1:27">
      <c r="A78" s="9" t="s">
        <v>35</v>
      </c>
      <c r="B78" s="1">
        <v>41912.788194444445</v>
      </c>
      <c r="C78" t="s">
        <v>36</v>
      </c>
      <c r="D78" t="s">
        <v>37</v>
      </c>
      <c r="E78" t="s">
        <v>183</v>
      </c>
      <c r="F78" t="s">
        <v>30</v>
      </c>
      <c r="G78" t="s">
        <v>31</v>
      </c>
      <c r="H78" t="s">
        <v>283</v>
      </c>
      <c r="I78" t="s">
        <v>364</v>
      </c>
      <c r="J78" s="7" t="s">
        <v>407</v>
      </c>
      <c r="K78" t="s">
        <v>36</v>
      </c>
      <c r="L78" t="s">
        <v>37</v>
      </c>
      <c r="M78" t="s">
        <v>183</v>
      </c>
      <c r="N78" t="s">
        <v>30</v>
      </c>
      <c r="O78" t="s">
        <v>31</v>
      </c>
      <c r="P78" t="s">
        <v>38</v>
      </c>
      <c r="Q78" t="s">
        <v>364</v>
      </c>
      <c r="S78" t="s">
        <v>39</v>
      </c>
      <c r="T78" t="s">
        <v>40</v>
      </c>
      <c r="U78">
        <v>100</v>
      </c>
      <c r="V78">
        <v>1</v>
      </c>
      <c r="W78">
        <v>100</v>
      </c>
      <c r="X78">
        <v>0</v>
      </c>
      <c r="Y78" t="s">
        <v>33</v>
      </c>
      <c r="AA78" t="s">
        <v>34</v>
      </c>
    </row>
    <row r="79" spans="1:27">
      <c r="A79" s="9" t="s">
        <v>41</v>
      </c>
      <c r="B79" s="1">
        <v>41920.809027777781</v>
      </c>
      <c r="C79" t="s">
        <v>28</v>
      </c>
      <c r="D79" t="s">
        <v>42</v>
      </c>
      <c r="E79" t="s">
        <v>184</v>
      </c>
      <c r="F79" t="s">
        <v>30</v>
      </c>
      <c r="G79" t="s">
        <v>43</v>
      </c>
      <c r="H79" t="s">
        <v>284</v>
      </c>
      <c r="I79" t="s">
        <v>365</v>
      </c>
      <c r="J79" s="7" t="s">
        <v>407</v>
      </c>
      <c r="K79" t="s">
        <v>28</v>
      </c>
      <c r="L79" t="s">
        <v>42</v>
      </c>
      <c r="M79" t="s">
        <v>184</v>
      </c>
      <c r="N79" t="s">
        <v>30</v>
      </c>
      <c r="O79" t="s">
        <v>43</v>
      </c>
      <c r="P79" s="2">
        <v>36954</v>
      </c>
      <c r="Q79" t="s">
        <v>365</v>
      </c>
      <c r="S79" t="s">
        <v>44</v>
      </c>
      <c r="U79">
        <v>100</v>
      </c>
      <c r="V79">
        <v>1</v>
      </c>
      <c r="W79">
        <v>100</v>
      </c>
      <c r="X79">
        <v>0</v>
      </c>
      <c r="Y79" t="s">
        <v>33</v>
      </c>
      <c r="AA79" t="s">
        <v>34</v>
      </c>
    </row>
    <row r="80" spans="1:27">
      <c r="A80" s="9" t="s">
        <v>45</v>
      </c>
      <c r="B80" s="1">
        <v>42017.817361111112</v>
      </c>
      <c r="C80" t="s">
        <v>46</v>
      </c>
      <c r="D80" t="s">
        <v>47</v>
      </c>
      <c r="E80" t="s">
        <v>185</v>
      </c>
      <c r="F80" t="s">
        <v>30</v>
      </c>
      <c r="G80" t="s">
        <v>43</v>
      </c>
      <c r="H80" t="s">
        <v>285</v>
      </c>
      <c r="I80" t="s">
        <v>366</v>
      </c>
      <c r="J80" s="7" t="s">
        <v>407</v>
      </c>
      <c r="K80" t="s">
        <v>46</v>
      </c>
      <c r="L80" t="s">
        <v>47</v>
      </c>
      <c r="M80" t="s">
        <v>185</v>
      </c>
      <c r="N80" t="s">
        <v>30</v>
      </c>
      <c r="O80" t="s">
        <v>43</v>
      </c>
      <c r="P80" s="2">
        <v>36892</v>
      </c>
      <c r="Q80" t="s">
        <v>366</v>
      </c>
      <c r="S80" t="s">
        <v>48</v>
      </c>
      <c r="U80">
        <v>2380</v>
      </c>
      <c r="V80">
        <v>1</v>
      </c>
      <c r="W80">
        <v>2380</v>
      </c>
      <c r="X80">
        <v>0</v>
      </c>
      <c r="Y80" t="s">
        <v>33</v>
      </c>
      <c r="AA80" t="s">
        <v>34</v>
      </c>
    </row>
    <row r="81" spans="1:27">
      <c r="A81" s="9" t="s">
        <v>49</v>
      </c>
      <c r="B81" s="1">
        <v>42296.890972222223</v>
      </c>
      <c r="C81" t="s">
        <v>28</v>
      </c>
      <c r="D81" t="s">
        <v>29</v>
      </c>
      <c r="E81" t="s">
        <v>186</v>
      </c>
      <c r="F81" t="s">
        <v>30</v>
      </c>
      <c r="G81" t="s">
        <v>31</v>
      </c>
      <c r="H81" t="s">
        <v>286</v>
      </c>
      <c r="I81" t="s">
        <v>367</v>
      </c>
      <c r="J81" s="7" t="s">
        <v>407</v>
      </c>
      <c r="K81" t="s">
        <v>28</v>
      </c>
      <c r="L81" t="s">
        <v>29</v>
      </c>
      <c r="M81" t="s">
        <v>186</v>
      </c>
      <c r="N81" t="s">
        <v>30</v>
      </c>
      <c r="O81" t="s">
        <v>31</v>
      </c>
      <c r="P81" s="2">
        <v>36923</v>
      </c>
      <c r="Q81" t="s">
        <v>367</v>
      </c>
      <c r="S81" t="s">
        <v>50</v>
      </c>
      <c r="U81">
        <v>2380</v>
      </c>
      <c r="V81">
        <v>1</v>
      </c>
      <c r="W81">
        <v>2380</v>
      </c>
      <c r="X81">
        <v>200</v>
      </c>
      <c r="Y81" t="s">
        <v>51</v>
      </c>
      <c r="AA81" t="s">
        <v>34</v>
      </c>
    </row>
    <row r="82" spans="1:27">
      <c r="A82" s="9" t="s">
        <v>49</v>
      </c>
      <c r="B82" s="1">
        <v>42296.890972222223</v>
      </c>
      <c r="C82" t="s">
        <v>28</v>
      </c>
      <c r="D82" t="s">
        <v>29</v>
      </c>
      <c r="E82" t="s">
        <v>187</v>
      </c>
      <c r="F82" t="s">
        <v>30</v>
      </c>
      <c r="G82" t="s">
        <v>31</v>
      </c>
      <c r="H82" t="s">
        <v>287</v>
      </c>
      <c r="I82" t="s">
        <v>368</v>
      </c>
      <c r="J82" s="7" t="s">
        <v>407</v>
      </c>
      <c r="K82" t="s">
        <v>28</v>
      </c>
      <c r="L82" t="s">
        <v>29</v>
      </c>
      <c r="M82" t="s">
        <v>187</v>
      </c>
      <c r="N82" t="s">
        <v>30</v>
      </c>
      <c r="O82" t="s">
        <v>31</v>
      </c>
      <c r="P82" s="2">
        <v>36923</v>
      </c>
      <c r="Q82" t="s">
        <v>368</v>
      </c>
      <c r="S82" t="s">
        <v>48</v>
      </c>
      <c r="U82">
        <v>2380</v>
      </c>
      <c r="V82">
        <v>1</v>
      </c>
      <c r="W82">
        <v>2380</v>
      </c>
      <c r="X82">
        <v>200</v>
      </c>
      <c r="Y82" t="s">
        <v>51</v>
      </c>
      <c r="AA82" t="s">
        <v>34</v>
      </c>
    </row>
    <row r="83" spans="1:27">
      <c r="A83" s="9" t="s">
        <v>52</v>
      </c>
      <c r="B83" s="1">
        <v>42296.911111111112</v>
      </c>
      <c r="C83" t="s">
        <v>28</v>
      </c>
      <c r="D83" t="s">
        <v>29</v>
      </c>
      <c r="E83" t="s">
        <v>188</v>
      </c>
      <c r="F83" t="s">
        <v>30</v>
      </c>
      <c r="G83" t="s">
        <v>31</v>
      </c>
      <c r="H83" t="s">
        <v>288</v>
      </c>
      <c r="I83" t="s">
        <v>369</v>
      </c>
      <c r="J83" s="7" t="s">
        <v>407</v>
      </c>
      <c r="K83" t="s">
        <v>28</v>
      </c>
      <c r="L83" t="s">
        <v>29</v>
      </c>
      <c r="M83" t="s">
        <v>188</v>
      </c>
      <c r="N83" t="s">
        <v>30</v>
      </c>
      <c r="O83" t="s">
        <v>31</v>
      </c>
      <c r="P83" s="2">
        <v>36925</v>
      </c>
      <c r="Q83" t="s">
        <v>369</v>
      </c>
      <c r="S83" t="s">
        <v>32</v>
      </c>
      <c r="U83">
        <v>2380</v>
      </c>
      <c r="V83">
        <v>2</v>
      </c>
      <c r="W83">
        <v>4760</v>
      </c>
      <c r="X83">
        <v>200</v>
      </c>
      <c r="Y83" t="s">
        <v>51</v>
      </c>
      <c r="AA83" t="s">
        <v>34</v>
      </c>
    </row>
    <row r="84" spans="1:27">
      <c r="A84" s="9" t="s">
        <v>53</v>
      </c>
      <c r="B84" s="1">
        <v>42296.912499999999</v>
      </c>
      <c r="C84" t="s">
        <v>28</v>
      </c>
      <c r="D84" t="s">
        <v>29</v>
      </c>
      <c r="E84" t="s">
        <v>189</v>
      </c>
      <c r="F84" t="s">
        <v>30</v>
      </c>
      <c r="G84" t="s">
        <v>31</v>
      </c>
      <c r="H84" t="s">
        <v>289</v>
      </c>
      <c r="I84" t="s">
        <v>370</v>
      </c>
      <c r="J84" s="7" t="s">
        <v>407</v>
      </c>
      <c r="K84" t="s">
        <v>28</v>
      </c>
      <c r="L84" t="s">
        <v>29</v>
      </c>
      <c r="M84" t="s">
        <v>189</v>
      </c>
      <c r="N84" t="s">
        <v>30</v>
      </c>
      <c r="O84" t="s">
        <v>31</v>
      </c>
      <c r="P84" s="2">
        <v>36925</v>
      </c>
      <c r="Q84" t="s">
        <v>370</v>
      </c>
      <c r="S84" t="s">
        <v>32</v>
      </c>
      <c r="U84">
        <v>2380</v>
      </c>
      <c r="V84">
        <v>3</v>
      </c>
      <c r="W84">
        <v>7140</v>
      </c>
      <c r="X84">
        <v>200</v>
      </c>
      <c r="Y84" t="s">
        <v>51</v>
      </c>
      <c r="AA84" t="s">
        <v>34</v>
      </c>
    </row>
    <row r="85" spans="1:27">
      <c r="A85" s="9" t="s">
        <v>54</v>
      </c>
      <c r="B85" s="1">
        <v>42296.913194444445</v>
      </c>
      <c r="C85" t="s">
        <v>28</v>
      </c>
      <c r="D85" t="s">
        <v>29</v>
      </c>
      <c r="E85" t="s">
        <v>190</v>
      </c>
      <c r="F85" t="s">
        <v>30</v>
      </c>
      <c r="G85" t="s">
        <v>31</v>
      </c>
      <c r="H85" t="s">
        <v>290</v>
      </c>
      <c r="I85" t="s">
        <v>371</v>
      </c>
      <c r="J85" s="7" t="s">
        <v>407</v>
      </c>
      <c r="K85" t="s">
        <v>28</v>
      </c>
      <c r="L85" t="s">
        <v>29</v>
      </c>
      <c r="M85" t="s">
        <v>190</v>
      </c>
      <c r="N85" t="s">
        <v>30</v>
      </c>
      <c r="O85" t="s">
        <v>31</v>
      </c>
      <c r="P85">
        <v>123</v>
      </c>
      <c r="Q85" t="s">
        <v>371</v>
      </c>
      <c r="S85" t="s">
        <v>32</v>
      </c>
      <c r="U85">
        <v>2380</v>
      </c>
      <c r="V85">
        <v>2</v>
      </c>
      <c r="W85">
        <v>4760</v>
      </c>
      <c r="X85">
        <v>200</v>
      </c>
      <c r="Y85" t="s">
        <v>51</v>
      </c>
      <c r="AA85" t="s">
        <v>34</v>
      </c>
    </row>
    <row r="86" spans="1:27">
      <c r="A86" s="9" t="s">
        <v>55</v>
      </c>
      <c r="B86" s="1">
        <v>42296.914583333331</v>
      </c>
      <c r="C86" t="s">
        <v>28</v>
      </c>
      <c r="D86" t="s">
        <v>29</v>
      </c>
      <c r="E86" t="s">
        <v>191</v>
      </c>
      <c r="F86" t="s">
        <v>30</v>
      </c>
      <c r="G86" t="s">
        <v>31</v>
      </c>
      <c r="H86" t="s">
        <v>291</v>
      </c>
      <c r="I86" t="s">
        <v>372</v>
      </c>
      <c r="J86" s="7" t="s">
        <v>407</v>
      </c>
      <c r="K86" t="s">
        <v>28</v>
      </c>
      <c r="L86" t="s">
        <v>29</v>
      </c>
      <c r="M86" t="s">
        <v>191</v>
      </c>
      <c r="N86" t="s">
        <v>30</v>
      </c>
      <c r="O86" t="s">
        <v>31</v>
      </c>
      <c r="P86" s="2">
        <v>36925</v>
      </c>
      <c r="Q86" t="s">
        <v>372</v>
      </c>
      <c r="S86" t="s">
        <v>32</v>
      </c>
      <c r="U86">
        <v>2380</v>
      </c>
      <c r="V86">
        <v>1</v>
      </c>
      <c r="W86">
        <v>2380</v>
      </c>
      <c r="X86">
        <v>200</v>
      </c>
      <c r="Y86" t="s">
        <v>51</v>
      </c>
      <c r="AA86" t="s">
        <v>34</v>
      </c>
    </row>
    <row r="87" spans="1:27">
      <c r="A87" s="9" t="s">
        <v>56</v>
      </c>
      <c r="B87" s="1">
        <v>42296.927083333336</v>
      </c>
      <c r="C87" t="s">
        <v>28</v>
      </c>
      <c r="D87" t="s">
        <v>29</v>
      </c>
      <c r="E87" t="s">
        <v>192</v>
      </c>
      <c r="F87" t="s">
        <v>30</v>
      </c>
      <c r="G87" t="s">
        <v>57</v>
      </c>
      <c r="H87" t="s">
        <v>292</v>
      </c>
      <c r="I87" t="s">
        <v>373</v>
      </c>
      <c r="J87" s="7" t="s">
        <v>407</v>
      </c>
      <c r="K87" t="s">
        <v>28</v>
      </c>
      <c r="L87" t="s">
        <v>29</v>
      </c>
      <c r="M87" t="s">
        <v>192</v>
      </c>
      <c r="N87" t="s">
        <v>30</v>
      </c>
      <c r="O87" t="s">
        <v>57</v>
      </c>
      <c r="P87" s="2">
        <v>36925</v>
      </c>
      <c r="Q87" t="s">
        <v>373</v>
      </c>
      <c r="S87" t="s">
        <v>32</v>
      </c>
      <c r="U87">
        <v>2380</v>
      </c>
      <c r="V87">
        <v>1</v>
      </c>
      <c r="W87">
        <v>2380</v>
      </c>
      <c r="X87">
        <v>200</v>
      </c>
      <c r="Y87" t="s">
        <v>51</v>
      </c>
      <c r="AA87" t="s">
        <v>34</v>
      </c>
    </row>
    <row r="88" spans="1:27">
      <c r="A88" s="9" t="s">
        <v>58</v>
      </c>
      <c r="B88" s="1">
        <v>42296.932638888888</v>
      </c>
      <c r="C88" t="s">
        <v>28</v>
      </c>
      <c r="D88" t="s">
        <v>29</v>
      </c>
      <c r="E88" t="s">
        <v>193</v>
      </c>
      <c r="F88" t="s">
        <v>30</v>
      </c>
      <c r="G88" t="s">
        <v>57</v>
      </c>
      <c r="H88" t="s">
        <v>293</v>
      </c>
      <c r="I88" t="s">
        <v>374</v>
      </c>
      <c r="J88" s="7" t="s">
        <v>407</v>
      </c>
      <c r="K88" t="s">
        <v>28</v>
      </c>
      <c r="L88" t="s">
        <v>29</v>
      </c>
      <c r="M88" t="s">
        <v>193</v>
      </c>
      <c r="N88" t="s">
        <v>30</v>
      </c>
      <c r="O88" t="s">
        <v>57</v>
      </c>
      <c r="P88" s="2">
        <v>36925</v>
      </c>
      <c r="Q88" t="s">
        <v>374</v>
      </c>
      <c r="S88" t="s">
        <v>59</v>
      </c>
      <c r="U88">
        <v>2380</v>
      </c>
      <c r="V88">
        <v>1</v>
      </c>
      <c r="W88">
        <v>2380</v>
      </c>
      <c r="X88">
        <v>200</v>
      </c>
      <c r="Y88" t="s">
        <v>51</v>
      </c>
      <c r="AA88" t="s">
        <v>34</v>
      </c>
    </row>
    <row r="89" spans="1:27">
      <c r="A89" s="9" t="s">
        <v>58</v>
      </c>
      <c r="B89" s="1">
        <v>42296.932638888888</v>
      </c>
      <c r="C89" t="s">
        <v>28</v>
      </c>
      <c r="D89" t="s">
        <v>29</v>
      </c>
      <c r="E89" t="s">
        <v>194</v>
      </c>
      <c r="F89" t="s">
        <v>30</v>
      </c>
      <c r="G89" t="s">
        <v>57</v>
      </c>
      <c r="H89" t="s">
        <v>294</v>
      </c>
      <c r="I89" t="s">
        <v>375</v>
      </c>
      <c r="J89" s="7" t="s">
        <v>407</v>
      </c>
      <c r="K89" t="s">
        <v>28</v>
      </c>
      <c r="L89" t="s">
        <v>29</v>
      </c>
      <c r="M89" t="s">
        <v>194</v>
      </c>
      <c r="N89" t="s">
        <v>30</v>
      </c>
      <c r="O89" t="s">
        <v>57</v>
      </c>
      <c r="P89" s="2">
        <v>36925</v>
      </c>
      <c r="Q89" t="s">
        <v>375</v>
      </c>
      <c r="S89" t="s">
        <v>60</v>
      </c>
      <c r="U89">
        <v>2380</v>
      </c>
      <c r="V89">
        <v>1</v>
      </c>
      <c r="W89">
        <v>2380</v>
      </c>
      <c r="X89">
        <v>200</v>
      </c>
      <c r="Y89" t="s">
        <v>51</v>
      </c>
      <c r="AA89" t="s">
        <v>34</v>
      </c>
    </row>
    <row r="90" spans="1:27">
      <c r="A90" s="9" t="s">
        <v>61</v>
      </c>
      <c r="B90" s="1">
        <v>42296.933333333334</v>
      </c>
      <c r="C90" t="s">
        <v>28</v>
      </c>
      <c r="D90" t="s">
        <v>29</v>
      </c>
      <c r="E90" t="s">
        <v>195</v>
      </c>
      <c r="F90" t="s">
        <v>30</v>
      </c>
      <c r="G90" t="s">
        <v>57</v>
      </c>
      <c r="H90" t="s">
        <v>295</v>
      </c>
      <c r="I90" t="s">
        <v>376</v>
      </c>
      <c r="J90" s="7" t="s">
        <v>407</v>
      </c>
      <c r="K90" t="s">
        <v>28</v>
      </c>
      <c r="L90" t="s">
        <v>29</v>
      </c>
      <c r="M90" t="s">
        <v>195</v>
      </c>
      <c r="N90" t="s">
        <v>30</v>
      </c>
      <c r="O90" t="s">
        <v>57</v>
      </c>
      <c r="P90" t="s">
        <v>62</v>
      </c>
      <c r="Q90" t="s">
        <v>376</v>
      </c>
      <c r="S90" t="s">
        <v>60</v>
      </c>
      <c r="U90">
        <v>2380</v>
      </c>
      <c r="V90">
        <v>1</v>
      </c>
      <c r="W90">
        <v>2380</v>
      </c>
      <c r="X90">
        <v>200</v>
      </c>
      <c r="Y90" t="s">
        <v>51</v>
      </c>
      <c r="AA90" t="s">
        <v>34</v>
      </c>
    </row>
    <row r="91" spans="1:27">
      <c r="A91" s="9" t="s">
        <v>61</v>
      </c>
      <c r="B91" s="1">
        <v>42296.933333333334</v>
      </c>
      <c r="C91" t="s">
        <v>28</v>
      </c>
      <c r="D91" t="s">
        <v>29</v>
      </c>
      <c r="E91" t="s">
        <v>196</v>
      </c>
      <c r="F91" t="s">
        <v>30</v>
      </c>
      <c r="G91" t="s">
        <v>57</v>
      </c>
      <c r="H91" t="s">
        <v>296</v>
      </c>
      <c r="I91" t="s">
        <v>377</v>
      </c>
      <c r="J91" s="7" t="s">
        <v>407</v>
      </c>
      <c r="K91" t="s">
        <v>28</v>
      </c>
      <c r="L91" t="s">
        <v>29</v>
      </c>
      <c r="M91" t="s">
        <v>196</v>
      </c>
      <c r="N91" t="s">
        <v>30</v>
      </c>
      <c r="O91" t="s">
        <v>57</v>
      </c>
      <c r="P91" t="s">
        <v>62</v>
      </c>
      <c r="Q91" t="s">
        <v>377</v>
      </c>
      <c r="S91" t="s">
        <v>59</v>
      </c>
      <c r="U91">
        <v>2380</v>
      </c>
      <c r="V91">
        <v>1</v>
      </c>
      <c r="W91">
        <v>2380</v>
      </c>
      <c r="X91">
        <v>200</v>
      </c>
      <c r="Y91" t="s">
        <v>51</v>
      </c>
      <c r="AA91" t="s">
        <v>34</v>
      </c>
    </row>
    <row r="92" spans="1:27">
      <c r="A92" s="9" t="s">
        <v>63</v>
      </c>
      <c r="B92" s="1">
        <v>42296.93472222222</v>
      </c>
      <c r="C92" t="s">
        <v>28</v>
      </c>
      <c r="D92" t="s">
        <v>29</v>
      </c>
      <c r="E92" t="s">
        <v>197</v>
      </c>
      <c r="F92" t="s">
        <v>30</v>
      </c>
      <c r="G92" t="s">
        <v>57</v>
      </c>
      <c r="H92" t="s">
        <v>297</v>
      </c>
      <c r="I92" t="s">
        <v>378</v>
      </c>
      <c r="J92" s="7" t="s">
        <v>407</v>
      </c>
      <c r="K92" t="s">
        <v>28</v>
      </c>
      <c r="L92" t="s">
        <v>29</v>
      </c>
      <c r="M92" t="s">
        <v>197</v>
      </c>
      <c r="N92" t="s">
        <v>30</v>
      </c>
      <c r="O92" t="s">
        <v>57</v>
      </c>
      <c r="P92" s="2">
        <v>36925</v>
      </c>
      <c r="Q92" t="s">
        <v>378</v>
      </c>
      <c r="S92" t="s">
        <v>60</v>
      </c>
      <c r="U92">
        <v>2380</v>
      </c>
      <c r="V92">
        <v>1</v>
      </c>
      <c r="W92">
        <v>2380</v>
      </c>
      <c r="X92">
        <v>200</v>
      </c>
      <c r="Y92" t="s">
        <v>51</v>
      </c>
      <c r="AA92" t="s">
        <v>34</v>
      </c>
    </row>
    <row r="93" spans="1:27">
      <c r="A93" s="9" t="s">
        <v>63</v>
      </c>
      <c r="B93" s="1">
        <v>42296.93472222222</v>
      </c>
      <c r="C93" t="s">
        <v>28</v>
      </c>
      <c r="D93" t="s">
        <v>29</v>
      </c>
      <c r="E93" t="s">
        <v>198</v>
      </c>
      <c r="F93" t="s">
        <v>30</v>
      </c>
      <c r="G93" t="s">
        <v>57</v>
      </c>
      <c r="H93" t="s">
        <v>298</v>
      </c>
      <c r="I93" t="s">
        <v>379</v>
      </c>
      <c r="J93" s="7" t="s">
        <v>407</v>
      </c>
      <c r="K93" t="s">
        <v>28</v>
      </c>
      <c r="L93" t="s">
        <v>29</v>
      </c>
      <c r="M93" t="s">
        <v>198</v>
      </c>
      <c r="N93" t="s">
        <v>30</v>
      </c>
      <c r="O93" t="s">
        <v>57</v>
      </c>
      <c r="P93" s="2">
        <v>36925</v>
      </c>
      <c r="Q93" t="s">
        <v>379</v>
      </c>
      <c r="S93" t="s">
        <v>50</v>
      </c>
      <c r="U93">
        <v>2380</v>
      </c>
      <c r="V93">
        <v>1</v>
      </c>
      <c r="W93">
        <v>2380</v>
      </c>
      <c r="X93">
        <v>200</v>
      </c>
      <c r="Y93" t="s">
        <v>51</v>
      </c>
      <c r="AA93" t="s">
        <v>34</v>
      </c>
    </row>
    <row r="94" spans="1:27">
      <c r="A94" s="9" t="s">
        <v>64</v>
      </c>
      <c r="B94" s="1">
        <v>42296.946527777778</v>
      </c>
      <c r="C94" t="s">
        <v>65</v>
      </c>
      <c r="D94" t="s">
        <v>29</v>
      </c>
      <c r="E94" t="s">
        <v>199</v>
      </c>
      <c r="F94" t="s">
        <v>30</v>
      </c>
      <c r="G94" t="s">
        <v>57</v>
      </c>
      <c r="H94" t="s">
        <v>299</v>
      </c>
      <c r="I94" t="s">
        <v>380</v>
      </c>
      <c r="J94" s="7" t="s">
        <v>407</v>
      </c>
      <c r="K94" t="s">
        <v>65</v>
      </c>
      <c r="L94" t="s">
        <v>29</v>
      </c>
      <c r="M94" t="s">
        <v>199</v>
      </c>
      <c r="N94" t="s">
        <v>30</v>
      </c>
      <c r="O94" t="s">
        <v>57</v>
      </c>
      <c r="P94" s="2">
        <v>36925</v>
      </c>
      <c r="Q94" t="s">
        <v>380</v>
      </c>
      <c r="S94" t="s">
        <v>48</v>
      </c>
      <c r="U94">
        <v>2380</v>
      </c>
      <c r="V94">
        <v>1</v>
      </c>
      <c r="W94">
        <v>2380</v>
      </c>
      <c r="X94">
        <v>200</v>
      </c>
      <c r="Y94" t="s">
        <v>51</v>
      </c>
      <c r="AA94" t="s">
        <v>34</v>
      </c>
    </row>
    <row r="95" spans="1:27">
      <c r="A95" s="9" t="s">
        <v>64</v>
      </c>
      <c r="B95" s="1">
        <v>42296.946527777778</v>
      </c>
      <c r="C95" t="s">
        <v>65</v>
      </c>
      <c r="D95" t="s">
        <v>29</v>
      </c>
      <c r="E95" t="s">
        <v>200</v>
      </c>
      <c r="F95" t="s">
        <v>30</v>
      </c>
      <c r="G95" t="s">
        <v>57</v>
      </c>
      <c r="H95" t="s">
        <v>300</v>
      </c>
      <c r="I95" t="s">
        <v>381</v>
      </c>
      <c r="J95" s="7" t="s">
        <v>407</v>
      </c>
      <c r="K95" t="s">
        <v>65</v>
      </c>
      <c r="L95" t="s">
        <v>29</v>
      </c>
      <c r="M95" t="s">
        <v>200</v>
      </c>
      <c r="N95" t="s">
        <v>30</v>
      </c>
      <c r="O95" t="s">
        <v>57</v>
      </c>
      <c r="P95" s="2">
        <v>36925</v>
      </c>
      <c r="Q95" t="s">
        <v>381</v>
      </c>
      <c r="S95" t="s">
        <v>60</v>
      </c>
      <c r="U95">
        <v>2380</v>
      </c>
      <c r="V95">
        <v>1</v>
      </c>
      <c r="W95">
        <v>2380</v>
      </c>
      <c r="X95">
        <v>200</v>
      </c>
      <c r="Y95" t="s">
        <v>51</v>
      </c>
      <c r="AA95" t="s">
        <v>34</v>
      </c>
    </row>
    <row r="96" spans="1:27">
      <c r="A96" s="9" t="s">
        <v>66</v>
      </c>
      <c r="B96" s="1">
        <v>42296.947222222225</v>
      </c>
      <c r="C96" t="s">
        <v>67</v>
      </c>
      <c r="D96" t="s">
        <v>68</v>
      </c>
      <c r="E96" t="s">
        <v>201</v>
      </c>
      <c r="F96" t="s">
        <v>30</v>
      </c>
      <c r="G96" t="s">
        <v>57</v>
      </c>
      <c r="H96" t="s">
        <v>301</v>
      </c>
      <c r="I96" t="s">
        <v>382</v>
      </c>
      <c r="J96" s="7" t="s">
        <v>407</v>
      </c>
      <c r="K96" t="s">
        <v>67</v>
      </c>
      <c r="L96" t="s">
        <v>68</v>
      </c>
      <c r="M96" t="s">
        <v>201</v>
      </c>
      <c r="N96" t="s">
        <v>30</v>
      </c>
      <c r="O96" t="s">
        <v>57</v>
      </c>
      <c r="P96" s="2">
        <v>36925</v>
      </c>
      <c r="Q96" t="s">
        <v>382</v>
      </c>
      <c r="S96" t="s">
        <v>60</v>
      </c>
      <c r="U96">
        <v>2380</v>
      </c>
      <c r="V96">
        <v>1</v>
      </c>
      <c r="W96">
        <v>2380</v>
      </c>
      <c r="X96">
        <v>200</v>
      </c>
      <c r="Y96" t="s">
        <v>51</v>
      </c>
      <c r="AA96" t="s">
        <v>34</v>
      </c>
    </row>
    <row r="97" spans="1:27">
      <c r="A97" s="9" t="s">
        <v>66</v>
      </c>
      <c r="B97" s="1">
        <v>42296.947222222225</v>
      </c>
      <c r="C97" t="s">
        <v>67</v>
      </c>
      <c r="D97" t="s">
        <v>68</v>
      </c>
      <c r="E97" t="s">
        <v>202</v>
      </c>
      <c r="F97" t="s">
        <v>30</v>
      </c>
      <c r="G97" t="s">
        <v>57</v>
      </c>
      <c r="H97" t="s">
        <v>302</v>
      </c>
      <c r="I97" t="s">
        <v>383</v>
      </c>
      <c r="J97" s="7" t="s">
        <v>407</v>
      </c>
      <c r="K97" t="s">
        <v>67</v>
      </c>
      <c r="L97" t="s">
        <v>68</v>
      </c>
      <c r="M97" t="s">
        <v>202</v>
      </c>
      <c r="N97" t="s">
        <v>30</v>
      </c>
      <c r="O97" t="s">
        <v>57</v>
      </c>
      <c r="P97" s="2">
        <v>36925</v>
      </c>
      <c r="Q97" t="s">
        <v>383</v>
      </c>
      <c r="S97" t="s">
        <v>48</v>
      </c>
      <c r="U97">
        <v>2380</v>
      </c>
      <c r="V97">
        <v>1</v>
      </c>
      <c r="W97">
        <v>2380</v>
      </c>
      <c r="X97">
        <v>200</v>
      </c>
      <c r="Y97" t="s">
        <v>51</v>
      </c>
      <c r="AA97" t="s">
        <v>34</v>
      </c>
    </row>
    <row r="98" spans="1:27">
      <c r="A98" s="9" t="s">
        <v>69</v>
      </c>
      <c r="B98" s="1">
        <v>42296.948611111111</v>
      </c>
      <c r="C98" t="s">
        <v>67</v>
      </c>
      <c r="D98" t="s">
        <v>70</v>
      </c>
      <c r="E98" t="s">
        <v>203</v>
      </c>
      <c r="F98" t="s">
        <v>30</v>
      </c>
      <c r="G98" t="s">
        <v>57</v>
      </c>
      <c r="H98" t="s">
        <v>303</v>
      </c>
      <c r="I98" t="s">
        <v>384</v>
      </c>
      <c r="J98" s="7" t="s">
        <v>407</v>
      </c>
      <c r="K98" t="s">
        <v>67</v>
      </c>
      <c r="L98" t="s">
        <v>70</v>
      </c>
      <c r="M98" t="s">
        <v>203</v>
      </c>
      <c r="N98" t="s">
        <v>30</v>
      </c>
      <c r="O98" t="s">
        <v>57</v>
      </c>
      <c r="P98" t="s">
        <v>71</v>
      </c>
      <c r="Q98" t="s">
        <v>384</v>
      </c>
      <c r="S98" t="s">
        <v>60</v>
      </c>
      <c r="U98">
        <v>2380</v>
      </c>
      <c r="V98">
        <v>1</v>
      </c>
      <c r="W98">
        <v>2380</v>
      </c>
      <c r="X98">
        <v>200</v>
      </c>
      <c r="Y98" t="s">
        <v>51</v>
      </c>
      <c r="AA98" t="s">
        <v>34</v>
      </c>
    </row>
    <row r="99" spans="1:27">
      <c r="A99" s="9" t="s">
        <v>69</v>
      </c>
      <c r="B99" s="1">
        <v>42296.948611111111</v>
      </c>
      <c r="C99" t="s">
        <v>67</v>
      </c>
      <c r="D99" t="s">
        <v>70</v>
      </c>
      <c r="E99" t="s">
        <v>204</v>
      </c>
      <c r="F99" t="s">
        <v>30</v>
      </c>
      <c r="G99" t="s">
        <v>57</v>
      </c>
      <c r="H99" t="s">
        <v>304</v>
      </c>
      <c r="I99" t="s">
        <v>385</v>
      </c>
      <c r="J99" s="7" t="s">
        <v>407</v>
      </c>
      <c r="K99" t="s">
        <v>67</v>
      </c>
      <c r="L99" t="s">
        <v>70</v>
      </c>
      <c r="M99" t="s">
        <v>204</v>
      </c>
      <c r="N99" t="s">
        <v>30</v>
      </c>
      <c r="O99" t="s">
        <v>57</v>
      </c>
      <c r="P99" t="s">
        <v>71</v>
      </c>
      <c r="Q99" t="s">
        <v>385</v>
      </c>
      <c r="S99" t="s">
        <v>48</v>
      </c>
      <c r="U99">
        <v>2380</v>
      </c>
      <c r="V99">
        <v>1</v>
      </c>
      <c r="W99">
        <v>2380</v>
      </c>
      <c r="X99">
        <v>200</v>
      </c>
      <c r="Y99" t="s">
        <v>51</v>
      </c>
      <c r="AA99" t="s">
        <v>34</v>
      </c>
    </row>
    <row r="100" spans="1:27">
      <c r="A100" s="9" t="s">
        <v>72</v>
      </c>
      <c r="B100" s="1">
        <v>42365.10833333333</v>
      </c>
      <c r="C100" t="s">
        <v>28</v>
      </c>
      <c r="D100" t="s">
        <v>29</v>
      </c>
      <c r="E100" t="s">
        <v>205</v>
      </c>
      <c r="F100" t="s">
        <v>30</v>
      </c>
      <c r="G100" t="s">
        <v>31</v>
      </c>
      <c r="H100" t="s">
        <v>305</v>
      </c>
      <c r="I100" t="s">
        <v>386</v>
      </c>
      <c r="J100" s="7" t="s">
        <v>407</v>
      </c>
      <c r="K100" t="s">
        <v>28</v>
      </c>
      <c r="L100" t="s">
        <v>29</v>
      </c>
      <c r="M100" t="s">
        <v>205</v>
      </c>
      <c r="N100" t="s">
        <v>30</v>
      </c>
      <c r="O100" t="s">
        <v>31</v>
      </c>
      <c r="P100" t="s">
        <v>73</v>
      </c>
      <c r="Q100" t="s">
        <v>386</v>
      </c>
      <c r="S100" t="s">
        <v>74</v>
      </c>
      <c r="U100">
        <v>2380</v>
      </c>
      <c r="V100">
        <v>1</v>
      </c>
      <c r="W100">
        <v>2380</v>
      </c>
      <c r="X100">
        <v>200</v>
      </c>
      <c r="Y100" t="s">
        <v>51</v>
      </c>
      <c r="AA100" t="s">
        <v>34</v>
      </c>
    </row>
    <row r="101" spans="1:27">
      <c r="A101" s="9" t="s">
        <v>75</v>
      </c>
      <c r="B101" s="1">
        <v>42510.90902777778</v>
      </c>
      <c r="C101" t="s">
        <v>88</v>
      </c>
      <c r="D101" t="s">
        <v>89</v>
      </c>
      <c r="E101" t="s">
        <v>206</v>
      </c>
      <c r="F101" t="s">
        <v>30</v>
      </c>
      <c r="G101" t="s">
        <v>43</v>
      </c>
      <c r="H101" t="s">
        <v>306</v>
      </c>
      <c r="I101" t="s">
        <v>387</v>
      </c>
      <c r="J101" s="7" t="s">
        <v>407</v>
      </c>
      <c r="K101" t="s">
        <v>88</v>
      </c>
      <c r="L101" t="s">
        <v>89</v>
      </c>
      <c r="M101" t="s">
        <v>206</v>
      </c>
      <c r="N101" t="s">
        <v>30</v>
      </c>
      <c r="O101" t="s">
        <v>43</v>
      </c>
      <c r="P101" t="s">
        <v>76</v>
      </c>
      <c r="Q101" t="s">
        <v>387</v>
      </c>
      <c r="S101" t="s">
        <v>77</v>
      </c>
      <c r="U101">
        <v>1850</v>
      </c>
      <c r="V101">
        <v>1</v>
      </c>
      <c r="W101">
        <v>1850</v>
      </c>
      <c r="X101">
        <v>200</v>
      </c>
      <c r="Y101" t="s">
        <v>51</v>
      </c>
      <c r="AA101" t="s">
        <v>34</v>
      </c>
    </row>
  </sheetData>
  <phoneticPr fontId="1"/>
  <hyperlinks>
    <hyperlink ref="J2" r:id="rId1"/>
    <hyperlink ref="J3:J101" r:id="rId2" display="hoge@hoge.com"/>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U44"/>
  <sheetViews>
    <sheetView workbookViewId="0">
      <selection activeCell="B17" sqref="B17"/>
    </sheetView>
  </sheetViews>
  <sheetFormatPr defaultColWidth="12.7265625" defaultRowHeight="19.5"/>
  <cols>
    <col min="2" max="2" width="19.26953125" customWidth="1"/>
    <col min="3" max="3" width="13.86328125" bestFit="1" customWidth="1"/>
    <col min="4" max="4" width="11.953125" bestFit="1" customWidth="1"/>
    <col min="5" max="5" width="22.86328125" customWidth="1"/>
    <col min="11" max="11" width="17.26953125" bestFit="1" customWidth="1"/>
    <col min="19" max="19" width="17.26953125" bestFit="1" customWidth="1"/>
    <col min="20" max="20" width="17.54296875" customWidth="1"/>
    <col min="21" max="21" width="17.26953125" bestFit="1" customWidth="1"/>
  </cols>
  <sheetData>
    <row r="3" spans="1:21">
      <c r="B3" s="3" t="s">
        <v>78</v>
      </c>
      <c r="C3" t="s">
        <v>80</v>
      </c>
      <c r="D3" t="s">
        <v>81</v>
      </c>
    </row>
    <row r="4" spans="1:21">
      <c r="A4">
        <v>1</v>
      </c>
      <c r="B4" s="4" t="s">
        <v>41</v>
      </c>
      <c r="C4" s="5">
        <v>400</v>
      </c>
      <c r="D4" s="5">
        <v>0</v>
      </c>
      <c r="E4" s="6">
        <f>VLOOKUP($B4,CSV!$A:$AA,2,0)</f>
        <v>41920.809027777781</v>
      </c>
      <c r="F4" s="6" t="str">
        <f>VLOOKUP($B4,CSV!$A:$AA,3,0)</f>
        <v>藤川</v>
      </c>
      <c r="G4" s="6" t="str">
        <f>VLOOKUP($B4,CSV!$A:$AA,4,0)</f>
        <v>シンイチ</v>
      </c>
      <c r="H4" s="6" t="str">
        <f>VLOOKUP($B4,CSV!$A:$AA,5,0)</f>
        <v>111-1113</v>
      </c>
      <c r="I4" s="6" t="str">
        <f>VLOOKUP($B4,CSV!$A:$AA,6,0)</f>
        <v>東京都</v>
      </c>
      <c r="J4" s="6" t="str">
        <f>VLOOKUP($B4,CSV!$A:$AA,7,0)</f>
        <v>渋谷区道玄坂</v>
      </c>
      <c r="K4" s="6" t="str">
        <f>VLOOKUP($B4,CSV!$A:$AA,8,0)</f>
        <v>1-1-203</v>
      </c>
      <c r="L4" s="6" t="str">
        <f>VLOOKUP($B4,CSV!$A:$AA,9,0)</f>
        <v>999-9999-9982</v>
      </c>
      <c r="M4" s="6" t="str">
        <f>VLOOKUP($B4,CSV!$A:$AA,10,0)</f>
        <v>hoge@hoge.com</v>
      </c>
      <c r="N4" s="6" t="str">
        <f>VLOOKUP($B4,CSV!$A:$AA,11,0)</f>
        <v>藤川</v>
      </c>
      <c r="O4" s="6" t="str">
        <f>VLOOKUP($B4,CSV!$A:$AA,12,0)</f>
        <v>シンイチ</v>
      </c>
      <c r="P4" s="6" t="str">
        <f>VLOOKUP($B4,CSV!$A:$AA,13,0)</f>
        <v>111-1113</v>
      </c>
      <c r="Q4" s="6" t="str">
        <f>VLOOKUP($B4,CSV!$A:$AA,14,0)</f>
        <v>東京都</v>
      </c>
      <c r="R4" s="6" t="str">
        <f>VLOOKUP($B4,CSV!$A:$AA,15,0)</f>
        <v>渋谷区道玄坂</v>
      </c>
      <c r="S4" s="6">
        <f>VLOOKUP($B4,CSV!$A:$AA,16,0)</f>
        <v>36954</v>
      </c>
      <c r="T4" s="6" t="str">
        <f>VLOOKUP($B4,CSV!$A:$AA,17,0)</f>
        <v>999-9999-9982</v>
      </c>
      <c r="U4" s="6" t="str">
        <f>VLOOKUP($B4,CSV!$A:$AA,25,0)</f>
        <v>銀行振込(ご自身の口座)</v>
      </c>
    </row>
    <row r="5" spans="1:21">
      <c r="A5">
        <v>2</v>
      </c>
      <c r="B5" s="4" t="s">
        <v>64</v>
      </c>
      <c r="C5" s="5">
        <v>19040</v>
      </c>
      <c r="D5" s="5">
        <v>200</v>
      </c>
      <c r="E5" s="6">
        <f>VLOOKUP($B5,CSV!$A:$AA,2,0)</f>
        <v>42296.946527777778</v>
      </c>
      <c r="F5" s="6" t="str">
        <f>VLOOKUP($B5,CSV!$A:$AA,3,0)</f>
        <v>富士川</v>
      </c>
      <c r="G5" s="6" t="str">
        <f>VLOOKUP($B5,CSV!$A:$AA,4,0)</f>
        <v>真一</v>
      </c>
      <c r="H5" s="6" t="str">
        <f>VLOOKUP($B5,CSV!$A:$AA,5,0)</f>
        <v>111-1128</v>
      </c>
      <c r="I5" s="6" t="str">
        <f>VLOOKUP($B5,CSV!$A:$AA,6,0)</f>
        <v>東京都</v>
      </c>
      <c r="J5" s="6" t="str">
        <f>VLOOKUP($B5,CSV!$A:$AA,7,0)</f>
        <v>目黒区東山</v>
      </c>
      <c r="K5" s="6" t="str">
        <f>VLOOKUP($B5,CSV!$A:$AA,8,0)</f>
        <v>1-1-218</v>
      </c>
      <c r="L5" s="6" t="str">
        <f>VLOOKUP($B5,CSV!$A:$AA,9,0)</f>
        <v>999-9999-9997</v>
      </c>
      <c r="M5" s="6" t="str">
        <f>VLOOKUP($B5,CSV!$A:$AA,10,0)</f>
        <v>hoge@hoge.com</v>
      </c>
      <c r="N5" s="6" t="str">
        <f>VLOOKUP($B5,CSV!$A:$AA,11,0)</f>
        <v>富士川</v>
      </c>
      <c r="O5" s="6" t="str">
        <f>VLOOKUP($B5,CSV!$A:$AA,12,0)</f>
        <v>真一</v>
      </c>
      <c r="P5" s="6" t="str">
        <f>VLOOKUP($B5,CSV!$A:$AA,13,0)</f>
        <v>111-1128</v>
      </c>
      <c r="Q5" s="6" t="str">
        <f>VLOOKUP($B5,CSV!$A:$AA,14,0)</f>
        <v>東京都</v>
      </c>
      <c r="R5" s="6" t="str">
        <f>VLOOKUP($B5,CSV!$A:$AA,15,0)</f>
        <v>目黒区東山</v>
      </c>
      <c r="S5" s="6">
        <f>VLOOKUP($B5,CSV!$A:$AA,16,0)</f>
        <v>36925</v>
      </c>
      <c r="T5" s="6" t="str">
        <f>VLOOKUP($B5,CSV!$A:$AA,17,0)</f>
        <v>999-9999-9997</v>
      </c>
      <c r="U5" s="6" t="str">
        <f>VLOOKUP($B5,CSV!$A:$AA,25,0)</f>
        <v>銀行振込</v>
      </c>
    </row>
    <row r="6" spans="1:21">
      <c r="A6">
        <v>3</v>
      </c>
      <c r="B6" s="4" t="s">
        <v>55</v>
      </c>
      <c r="C6" s="5">
        <v>9520</v>
      </c>
      <c r="D6" s="5">
        <v>200</v>
      </c>
      <c r="E6" s="6">
        <f>VLOOKUP($B6,CSV!$A:$AA,2,0)</f>
        <v>42296.914583333331</v>
      </c>
      <c r="F6" s="6" t="str">
        <f>VLOOKUP($B6,CSV!$A:$AA,3,0)</f>
        <v>藤川</v>
      </c>
      <c r="G6" s="6" t="str">
        <f>VLOOKUP($B6,CSV!$A:$AA,4,0)</f>
        <v>真一</v>
      </c>
      <c r="H6" s="6" t="str">
        <f>VLOOKUP($B6,CSV!$A:$AA,5,0)</f>
        <v>111-1120</v>
      </c>
      <c r="I6" s="6" t="str">
        <f>VLOOKUP($B6,CSV!$A:$AA,6,0)</f>
        <v>東京都</v>
      </c>
      <c r="J6" s="6" t="str">
        <f>VLOOKUP($B6,CSV!$A:$AA,7,0)</f>
        <v>目黒区中目黒</v>
      </c>
      <c r="K6" s="6" t="str">
        <f>VLOOKUP($B6,CSV!$A:$AA,8,0)</f>
        <v>1-1-210</v>
      </c>
      <c r="L6" s="6" t="str">
        <f>VLOOKUP($B6,CSV!$A:$AA,9,0)</f>
        <v>999-9999-9989</v>
      </c>
      <c r="M6" s="6" t="str">
        <f>VLOOKUP($B6,CSV!$A:$AA,10,0)</f>
        <v>hoge@hoge.com</v>
      </c>
      <c r="N6" s="6" t="str">
        <f>VLOOKUP($B6,CSV!$A:$AA,11,0)</f>
        <v>藤川</v>
      </c>
      <c r="O6" s="6" t="str">
        <f>VLOOKUP($B6,CSV!$A:$AA,12,0)</f>
        <v>真一</v>
      </c>
      <c r="P6" s="6" t="str">
        <f>VLOOKUP($B6,CSV!$A:$AA,13,0)</f>
        <v>111-1120</v>
      </c>
      <c r="Q6" s="6" t="str">
        <f>VLOOKUP($B6,CSV!$A:$AA,14,0)</f>
        <v>東京都</v>
      </c>
      <c r="R6" s="6" t="str">
        <f>VLOOKUP($B6,CSV!$A:$AA,15,0)</f>
        <v>目黒区中目黒</v>
      </c>
      <c r="S6" s="6">
        <f>VLOOKUP($B6,CSV!$A:$AA,16,0)</f>
        <v>36925</v>
      </c>
      <c r="T6" s="6" t="str">
        <f>VLOOKUP($B6,CSV!$A:$AA,17,0)</f>
        <v>999-9999-9989</v>
      </c>
      <c r="U6" s="6" t="str">
        <f>VLOOKUP($B6,CSV!$A:$AA,25,0)</f>
        <v>銀行振込</v>
      </c>
    </row>
    <row r="7" spans="1:21">
      <c r="A7">
        <v>4</v>
      </c>
      <c r="B7" s="4" t="s">
        <v>27</v>
      </c>
      <c r="C7" s="5">
        <v>9520</v>
      </c>
      <c r="D7" s="5">
        <v>0</v>
      </c>
      <c r="E7" s="6">
        <f>VLOOKUP($B7,CSV!$A:$AA,2,0)</f>
        <v>41870.770138888889</v>
      </c>
      <c r="F7" s="6" t="str">
        <f>VLOOKUP($B7,CSV!$A:$AA,3,0)</f>
        <v>藤川</v>
      </c>
      <c r="G7" s="6" t="str">
        <f>VLOOKUP($B7,CSV!$A:$AA,4,0)</f>
        <v>真一</v>
      </c>
      <c r="H7" s="6" t="str">
        <f>VLOOKUP($B7,CSV!$A:$AA,5,0)</f>
        <v>111-1111</v>
      </c>
      <c r="I7" s="6" t="str">
        <f>VLOOKUP($B7,CSV!$A:$AA,6,0)</f>
        <v>東京都</v>
      </c>
      <c r="J7" s="6" t="str">
        <f>VLOOKUP($B7,CSV!$A:$AA,7,0)</f>
        <v>目黒区中目黒</v>
      </c>
      <c r="K7" s="6" t="str">
        <f>VLOOKUP($B7,CSV!$A:$AA,8,0)</f>
        <v>1-1-201</v>
      </c>
      <c r="L7" s="6" t="str">
        <f>VLOOKUP($B7,CSV!$A:$AA,9,0)</f>
        <v>999-9999-9980</v>
      </c>
      <c r="M7" s="6" t="str">
        <f>VLOOKUP($B7,CSV!$A:$AA,10,0)</f>
        <v>hoge@hoge.com</v>
      </c>
      <c r="N7" s="6" t="str">
        <f>VLOOKUP($B7,CSV!$A:$AA,11,0)</f>
        <v>藤川</v>
      </c>
      <c r="O7" s="6" t="str">
        <f>VLOOKUP($B7,CSV!$A:$AA,12,0)</f>
        <v>真一</v>
      </c>
      <c r="P7" s="6" t="str">
        <f>VLOOKUP($B7,CSV!$A:$AA,13,0)</f>
        <v>111-1111</v>
      </c>
      <c r="Q7" s="6" t="str">
        <f>VLOOKUP($B7,CSV!$A:$AA,14,0)</f>
        <v>東京都</v>
      </c>
      <c r="R7" s="6" t="str">
        <f>VLOOKUP($B7,CSV!$A:$AA,15,0)</f>
        <v>目黒区中目黒</v>
      </c>
      <c r="S7" s="6" t="str">
        <f>VLOOKUP($B7,CSV!$A:$AA,16,0)</f>
        <v>１－４－２２－３０２</v>
      </c>
      <c r="T7" s="6" t="str">
        <f>VLOOKUP($B7,CSV!$A:$AA,17,0)</f>
        <v>999-9999-9980</v>
      </c>
      <c r="U7" s="6" t="str">
        <f>VLOOKUP($B7,CSV!$A:$AA,25,0)</f>
        <v>銀行振込(ご自身の口座)</v>
      </c>
    </row>
    <row r="8" spans="1:21">
      <c r="A8">
        <v>5</v>
      </c>
      <c r="B8" s="4" t="s">
        <v>72</v>
      </c>
      <c r="C8" s="5">
        <v>9520</v>
      </c>
      <c r="D8" s="5">
        <v>200</v>
      </c>
      <c r="E8" s="6">
        <f>VLOOKUP($B8,CSV!$A:$AA,2,0)</f>
        <v>42365.10833333333</v>
      </c>
      <c r="F8" s="6" t="str">
        <f>VLOOKUP($B8,CSV!$A:$AA,3,0)</f>
        <v>藤川</v>
      </c>
      <c r="G8" s="6" t="str">
        <f>VLOOKUP($B8,CSV!$A:$AA,4,0)</f>
        <v>真一</v>
      </c>
      <c r="H8" s="6" t="str">
        <f>VLOOKUP($B8,CSV!$A:$AA,5,0)</f>
        <v>111-1134</v>
      </c>
      <c r="I8" s="6" t="str">
        <f>VLOOKUP($B8,CSV!$A:$AA,6,0)</f>
        <v>東京都</v>
      </c>
      <c r="J8" s="6" t="str">
        <f>VLOOKUP($B8,CSV!$A:$AA,7,0)</f>
        <v>目黒区中目黒</v>
      </c>
      <c r="K8" s="6" t="str">
        <f>VLOOKUP($B8,CSV!$A:$AA,8,0)</f>
        <v>1-1-224</v>
      </c>
      <c r="L8" s="6" t="str">
        <f>VLOOKUP($B8,CSV!$A:$AA,9,0)</f>
        <v>999-9999-10003</v>
      </c>
      <c r="M8" s="6" t="str">
        <f>VLOOKUP($B8,CSV!$A:$AA,10,0)</f>
        <v>hoge@hoge.com</v>
      </c>
      <c r="N8" s="6" t="str">
        <f>VLOOKUP($B8,CSV!$A:$AA,11,0)</f>
        <v>藤川</v>
      </c>
      <c r="O8" s="6" t="str">
        <f>VLOOKUP($B8,CSV!$A:$AA,12,0)</f>
        <v>真一</v>
      </c>
      <c r="P8" s="6" t="str">
        <f>VLOOKUP($B8,CSV!$A:$AA,13,0)</f>
        <v>111-1134</v>
      </c>
      <c r="Q8" s="6" t="str">
        <f>VLOOKUP($B8,CSV!$A:$AA,14,0)</f>
        <v>東京都</v>
      </c>
      <c r="R8" s="6" t="str">
        <f>VLOOKUP($B8,CSV!$A:$AA,15,0)</f>
        <v>目黒区中目黒</v>
      </c>
      <c r="S8" s="6" t="str">
        <f>VLOOKUP($B8,CSV!$A:$AA,16,0)</f>
        <v>若さ</v>
      </c>
      <c r="T8" s="6" t="str">
        <f>VLOOKUP($B8,CSV!$A:$AA,17,0)</f>
        <v>999-9999-10003</v>
      </c>
      <c r="U8" s="6" t="str">
        <f>VLOOKUP($B8,CSV!$A:$AA,25,0)</f>
        <v>銀行振込</v>
      </c>
    </row>
    <row r="9" spans="1:21">
      <c r="A9">
        <v>6</v>
      </c>
      <c r="B9" s="4" t="s">
        <v>75</v>
      </c>
      <c r="C9" s="5">
        <v>7400</v>
      </c>
      <c r="D9" s="5">
        <v>200</v>
      </c>
      <c r="E9" s="6">
        <f>VLOOKUP($B9,CSV!$A:$AA,2,0)</f>
        <v>42510.90902777778</v>
      </c>
      <c r="F9" s="6" t="str">
        <f>VLOOKUP($B9,CSV!$A:$AA,3,0)</f>
        <v>ⅡⅡⅡxxx</v>
      </c>
      <c r="G9" s="6" t="str">
        <f>VLOOKUP($B9,CSV!$A:$AA,4,0)</f>
        <v>ⅡⅡⅡddd</v>
      </c>
      <c r="H9" s="6" t="str">
        <f>VLOOKUP($B9,CSV!$A:$AA,5,0)</f>
        <v>111-1135</v>
      </c>
      <c r="I9" s="6" t="str">
        <f>VLOOKUP($B9,CSV!$A:$AA,6,0)</f>
        <v>東京都</v>
      </c>
      <c r="J9" s="6" t="str">
        <f>VLOOKUP($B9,CSV!$A:$AA,7,0)</f>
        <v>渋谷区道玄坂</v>
      </c>
      <c r="K9" s="6" t="str">
        <f>VLOOKUP($B9,CSV!$A:$AA,8,0)</f>
        <v>1-1-225</v>
      </c>
      <c r="L9" s="6" t="str">
        <f>VLOOKUP($B9,CSV!$A:$AA,9,0)</f>
        <v>999-9999-10004</v>
      </c>
      <c r="M9" s="6" t="str">
        <f>VLOOKUP($B9,CSV!$A:$AA,10,0)</f>
        <v>hoge@hoge.com</v>
      </c>
      <c r="N9" s="6" t="str">
        <f>VLOOKUP($B9,CSV!$A:$AA,11,0)</f>
        <v>ⅡⅡⅡxxx</v>
      </c>
      <c r="O9" s="6" t="str">
        <f>VLOOKUP($B9,CSV!$A:$AA,12,0)</f>
        <v>ⅡⅡⅡddd</v>
      </c>
      <c r="P9" s="6" t="str">
        <f>VLOOKUP($B9,CSV!$A:$AA,13,0)</f>
        <v>111-1135</v>
      </c>
      <c r="Q9" s="6" t="str">
        <f>VLOOKUP($B9,CSV!$A:$AA,14,0)</f>
        <v>東京都</v>
      </c>
      <c r="R9" s="6" t="str">
        <f>VLOOKUP($B9,CSV!$A:$AA,15,0)</f>
        <v>渋谷区道玄坂</v>
      </c>
      <c r="S9" s="6" t="str">
        <f>VLOOKUP($B9,CSV!$A:$AA,16,0)</f>
        <v>中目黒</v>
      </c>
      <c r="T9" s="6" t="str">
        <f>VLOOKUP($B9,CSV!$A:$AA,17,0)</f>
        <v>999-9999-10004</v>
      </c>
      <c r="U9" s="6" t="str">
        <f>VLOOKUP($B9,CSV!$A:$AA,25,0)</f>
        <v>銀行振込</v>
      </c>
    </row>
    <row r="10" spans="1:21">
      <c r="A10">
        <v>7</v>
      </c>
      <c r="B10" s="4" t="s">
        <v>66</v>
      </c>
      <c r="C10" s="5">
        <v>19040</v>
      </c>
      <c r="D10" s="5">
        <v>200</v>
      </c>
      <c r="E10" s="6">
        <f>VLOOKUP($B10,CSV!$A:$AA,2,0)</f>
        <v>42296.947222222225</v>
      </c>
      <c r="F10" s="6" t="str">
        <f>VLOOKUP($B10,CSV!$A:$AA,3,0)</f>
        <v>fujikawa</v>
      </c>
      <c r="G10" s="6" t="str">
        <f>VLOOKUP($B10,CSV!$A:$AA,4,0)</f>
        <v>shininchi</v>
      </c>
      <c r="H10" s="6" t="str">
        <f>VLOOKUP($B10,CSV!$A:$AA,5,0)</f>
        <v>111-1130</v>
      </c>
      <c r="I10" s="6" t="str">
        <f>VLOOKUP($B10,CSV!$A:$AA,6,0)</f>
        <v>東京都</v>
      </c>
      <c r="J10" s="6" t="str">
        <f>VLOOKUP($B10,CSV!$A:$AA,7,0)</f>
        <v>目黒区東山</v>
      </c>
      <c r="K10" s="6" t="str">
        <f>VLOOKUP($B10,CSV!$A:$AA,8,0)</f>
        <v>1-1-220</v>
      </c>
      <c r="L10" s="6" t="str">
        <f>VLOOKUP($B10,CSV!$A:$AA,9,0)</f>
        <v>999-9999-9999</v>
      </c>
      <c r="M10" s="6" t="str">
        <f>VLOOKUP($B10,CSV!$A:$AA,10,0)</f>
        <v>hoge@hoge.com</v>
      </c>
      <c r="N10" s="6" t="str">
        <f>VLOOKUP($B10,CSV!$A:$AA,11,0)</f>
        <v>fujikawa</v>
      </c>
      <c r="O10" s="6" t="str">
        <f>VLOOKUP($B10,CSV!$A:$AA,12,0)</f>
        <v>shininchi</v>
      </c>
      <c r="P10" s="6" t="str">
        <f>VLOOKUP($B10,CSV!$A:$AA,13,0)</f>
        <v>111-1130</v>
      </c>
      <c r="Q10" s="6" t="str">
        <f>VLOOKUP($B10,CSV!$A:$AA,14,0)</f>
        <v>東京都</v>
      </c>
      <c r="R10" s="6" t="str">
        <f>VLOOKUP($B10,CSV!$A:$AA,15,0)</f>
        <v>目黒区東山</v>
      </c>
      <c r="S10" s="6">
        <f>VLOOKUP($B10,CSV!$A:$AA,16,0)</f>
        <v>36925</v>
      </c>
      <c r="T10" s="6" t="str">
        <f>VLOOKUP($B10,CSV!$A:$AA,17,0)</f>
        <v>999-9999-9999</v>
      </c>
      <c r="U10" s="6" t="str">
        <f>VLOOKUP($B10,CSV!$A:$AA,25,0)</f>
        <v>銀行振込</v>
      </c>
    </row>
    <row r="11" spans="1:21">
      <c r="A11">
        <v>8</v>
      </c>
      <c r="B11" s="4" t="s">
        <v>35</v>
      </c>
      <c r="C11" s="5">
        <v>400</v>
      </c>
      <c r="D11" s="5">
        <v>0</v>
      </c>
      <c r="E11" s="6">
        <f>VLOOKUP($B11,CSV!$A:$AA,2,0)</f>
        <v>41912.788194444445</v>
      </c>
      <c r="F11" s="6" t="str">
        <f>VLOOKUP($B11,CSV!$A:$AA,3,0)</f>
        <v>あ</v>
      </c>
      <c r="G11" s="6" t="str">
        <f>VLOOKUP($B11,CSV!$A:$AA,4,0)</f>
        <v>い</v>
      </c>
      <c r="H11" s="6" t="str">
        <f>VLOOKUP($B11,CSV!$A:$AA,5,0)</f>
        <v>111-1112</v>
      </c>
      <c r="I11" s="6" t="str">
        <f>VLOOKUP($B11,CSV!$A:$AA,6,0)</f>
        <v>東京都</v>
      </c>
      <c r="J11" s="6" t="str">
        <f>VLOOKUP($B11,CSV!$A:$AA,7,0)</f>
        <v>目黒区中目黒</v>
      </c>
      <c r="K11" s="6" t="str">
        <f>VLOOKUP($B11,CSV!$A:$AA,8,0)</f>
        <v>1-1-202</v>
      </c>
      <c r="L11" s="6" t="str">
        <f>VLOOKUP($B11,CSV!$A:$AA,9,0)</f>
        <v>999-9999-9981</v>
      </c>
      <c r="M11" s="6" t="str">
        <f>VLOOKUP($B11,CSV!$A:$AA,10,0)</f>
        <v>hoge@hoge.com</v>
      </c>
      <c r="N11" s="6" t="str">
        <f>VLOOKUP($B11,CSV!$A:$AA,11,0)</f>
        <v>あ</v>
      </c>
      <c r="O11" s="6" t="str">
        <f>VLOOKUP($B11,CSV!$A:$AA,12,0)</f>
        <v>い</v>
      </c>
      <c r="P11" s="6" t="str">
        <f>VLOOKUP($B11,CSV!$A:$AA,13,0)</f>
        <v>111-1112</v>
      </c>
      <c r="Q11" s="6" t="str">
        <f>VLOOKUP($B11,CSV!$A:$AA,14,0)</f>
        <v>東京都</v>
      </c>
      <c r="R11" s="6" t="str">
        <f>VLOOKUP($B11,CSV!$A:$AA,15,0)</f>
        <v>目黒区中目黒</v>
      </c>
      <c r="S11" s="6" t="str">
        <f>VLOOKUP($B11,CSV!$A:$AA,16,0)</f>
        <v>あああ</v>
      </c>
      <c r="T11" s="6" t="str">
        <f>VLOOKUP($B11,CSV!$A:$AA,17,0)</f>
        <v>999-9999-9981</v>
      </c>
      <c r="U11" s="6" t="str">
        <f>VLOOKUP($B11,CSV!$A:$AA,25,0)</f>
        <v>銀行振込(ご自身の口座)</v>
      </c>
    </row>
    <row r="12" spans="1:21">
      <c r="A12">
        <v>9</v>
      </c>
      <c r="B12" s="4" t="s">
        <v>63</v>
      </c>
      <c r="C12" s="5">
        <v>19040</v>
      </c>
      <c r="D12" s="5">
        <v>200</v>
      </c>
      <c r="E12" s="6">
        <f>VLOOKUP($B12,CSV!$A:$AA,2,0)</f>
        <v>42296.93472222222</v>
      </c>
      <c r="F12" s="6" t="str">
        <f>VLOOKUP($B12,CSV!$A:$AA,3,0)</f>
        <v>藤川</v>
      </c>
      <c r="G12" s="6" t="str">
        <f>VLOOKUP($B12,CSV!$A:$AA,4,0)</f>
        <v>真一</v>
      </c>
      <c r="H12" s="6" t="str">
        <f>VLOOKUP($B12,CSV!$A:$AA,5,0)</f>
        <v>111-1126</v>
      </c>
      <c r="I12" s="6" t="str">
        <f>VLOOKUP($B12,CSV!$A:$AA,6,0)</f>
        <v>東京都</v>
      </c>
      <c r="J12" s="6" t="str">
        <f>VLOOKUP($B12,CSV!$A:$AA,7,0)</f>
        <v>目黒区東山</v>
      </c>
      <c r="K12" s="6" t="str">
        <f>VLOOKUP($B12,CSV!$A:$AA,8,0)</f>
        <v>1-1-216</v>
      </c>
      <c r="L12" s="6" t="str">
        <f>VLOOKUP($B12,CSV!$A:$AA,9,0)</f>
        <v>999-9999-9995</v>
      </c>
      <c r="M12" s="6" t="str">
        <f>VLOOKUP($B12,CSV!$A:$AA,10,0)</f>
        <v>hoge@hoge.com</v>
      </c>
      <c r="N12" s="6" t="str">
        <f>VLOOKUP($B12,CSV!$A:$AA,11,0)</f>
        <v>藤川</v>
      </c>
      <c r="O12" s="6" t="str">
        <f>VLOOKUP($B12,CSV!$A:$AA,12,0)</f>
        <v>真一</v>
      </c>
      <c r="P12" s="6" t="str">
        <f>VLOOKUP($B12,CSV!$A:$AA,13,0)</f>
        <v>111-1126</v>
      </c>
      <c r="Q12" s="6" t="str">
        <f>VLOOKUP($B12,CSV!$A:$AA,14,0)</f>
        <v>東京都</v>
      </c>
      <c r="R12" s="6" t="str">
        <f>VLOOKUP($B12,CSV!$A:$AA,15,0)</f>
        <v>目黒区東山</v>
      </c>
      <c r="S12" s="6">
        <f>VLOOKUP($B12,CSV!$A:$AA,16,0)</f>
        <v>36925</v>
      </c>
      <c r="T12" s="6" t="str">
        <f>VLOOKUP($B12,CSV!$A:$AA,17,0)</f>
        <v>999-9999-9995</v>
      </c>
      <c r="U12" s="6" t="str">
        <f>VLOOKUP($B12,CSV!$A:$AA,25,0)</f>
        <v>銀行振込</v>
      </c>
    </row>
    <row r="13" spans="1:21">
      <c r="A13">
        <v>10</v>
      </c>
      <c r="B13" s="4" t="s">
        <v>61</v>
      </c>
      <c r="C13" s="5">
        <v>19040</v>
      </c>
      <c r="D13" s="5">
        <v>200</v>
      </c>
      <c r="E13" s="6">
        <f>VLOOKUP($B13,CSV!$A:$AA,2,0)</f>
        <v>42296.933333333334</v>
      </c>
      <c r="F13" s="6" t="str">
        <f>VLOOKUP($B13,CSV!$A:$AA,3,0)</f>
        <v>藤川</v>
      </c>
      <c r="G13" s="6" t="str">
        <f>VLOOKUP($B13,CSV!$A:$AA,4,0)</f>
        <v>真一</v>
      </c>
      <c r="H13" s="6" t="str">
        <f>VLOOKUP($B13,CSV!$A:$AA,5,0)</f>
        <v>111-1124</v>
      </c>
      <c r="I13" s="6" t="str">
        <f>VLOOKUP($B13,CSV!$A:$AA,6,0)</f>
        <v>東京都</v>
      </c>
      <c r="J13" s="6" t="str">
        <f>VLOOKUP($B13,CSV!$A:$AA,7,0)</f>
        <v>目黒区東山</v>
      </c>
      <c r="K13" s="6" t="str">
        <f>VLOOKUP($B13,CSV!$A:$AA,8,0)</f>
        <v>1-1-214</v>
      </c>
      <c r="L13" s="6" t="str">
        <f>VLOOKUP($B13,CSV!$A:$AA,9,0)</f>
        <v>999-9999-9993</v>
      </c>
      <c r="M13" s="6" t="str">
        <f>VLOOKUP($B13,CSV!$A:$AA,10,0)</f>
        <v>hoge@hoge.com</v>
      </c>
      <c r="N13" s="6" t="str">
        <f>VLOOKUP($B13,CSV!$A:$AA,11,0)</f>
        <v>藤川</v>
      </c>
      <c r="O13" s="6" t="str">
        <f>VLOOKUP($B13,CSV!$A:$AA,12,0)</f>
        <v>真一</v>
      </c>
      <c r="P13" s="6" t="str">
        <f>VLOOKUP($B13,CSV!$A:$AA,13,0)</f>
        <v>111-1124</v>
      </c>
      <c r="Q13" s="6" t="str">
        <f>VLOOKUP($B13,CSV!$A:$AA,14,0)</f>
        <v>東京都</v>
      </c>
      <c r="R13" s="6" t="str">
        <f>VLOOKUP($B13,CSV!$A:$AA,15,0)</f>
        <v>目黒区東山</v>
      </c>
      <c r="S13" s="6" t="str">
        <f>VLOOKUP($B13,CSV!$A:$AA,16,0)</f>
        <v>1-23-43</v>
      </c>
      <c r="T13" s="6" t="str">
        <f>VLOOKUP($B13,CSV!$A:$AA,17,0)</f>
        <v>999-9999-9993</v>
      </c>
      <c r="U13" s="6" t="str">
        <f>VLOOKUP($B13,CSV!$A:$AA,25,0)</f>
        <v>銀行振込</v>
      </c>
    </row>
    <row r="14" spans="1:21">
      <c r="A14">
        <v>11</v>
      </c>
      <c r="B14" s="4" t="s">
        <v>54</v>
      </c>
      <c r="C14" s="5">
        <v>19040</v>
      </c>
      <c r="D14" s="5">
        <v>200</v>
      </c>
      <c r="E14" s="6">
        <f>VLOOKUP($B14,CSV!$A:$AA,2,0)</f>
        <v>42296.913194444445</v>
      </c>
      <c r="F14" s="6" t="str">
        <f>VLOOKUP($B14,CSV!$A:$AA,3,0)</f>
        <v>藤川</v>
      </c>
      <c r="G14" s="6" t="str">
        <f>VLOOKUP($B14,CSV!$A:$AA,4,0)</f>
        <v>真一</v>
      </c>
      <c r="H14" s="6" t="str">
        <f>VLOOKUP($B14,CSV!$A:$AA,5,0)</f>
        <v>111-1119</v>
      </c>
      <c r="I14" s="6" t="str">
        <f>VLOOKUP($B14,CSV!$A:$AA,6,0)</f>
        <v>東京都</v>
      </c>
      <c r="J14" s="6" t="str">
        <f>VLOOKUP($B14,CSV!$A:$AA,7,0)</f>
        <v>目黒区中目黒</v>
      </c>
      <c r="K14" s="6" t="str">
        <f>VLOOKUP($B14,CSV!$A:$AA,8,0)</f>
        <v>1-1-209</v>
      </c>
      <c r="L14" s="6" t="str">
        <f>VLOOKUP($B14,CSV!$A:$AA,9,0)</f>
        <v>999-9999-9988</v>
      </c>
      <c r="M14" s="6" t="str">
        <f>VLOOKUP($B14,CSV!$A:$AA,10,0)</f>
        <v>hoge@hoge.com</v>
      </c>
      <c r="N14" s="6" t="str">
        <f>VLOOKUP($B14,CSV!$A:$AA,11,0)</f>
        <v>藤川</v>
      </c>
      <c r="O14" s="6" t="str">
        <f>VLOOKUP($B14,CSV!$A:$AA,12,0)</f>
        <v>真一</v>
      </c>
      <c r="P14" s="6" t="str">
        <f>VLOOKUP($B14,CSV!$A:$AA,13,0)</f>
        <v>111-1119</v>
      </c>
      <c r="Q14" s="6" t="str">
        <f>VLOOKUP($B14,CSV!$A:$AA,14,0)</f>
        <v>東京都</v>
      </c>
      <c r="R14" s="6" t="str">
        <f>VLOOKUP($B14,CSV!$A:$AA,15,0)</f>
        <v>目黒区中目黒</v>
      </c>
      <c r="S14" s="6">
        <f>VLOOKUP($B14,CSV!$A:$AA,16,0)</f>
        <v>123</v>
      </c>
      <c r="T14" s="6" t="str">
        <f>VLOOKUP($B14,CSV!$A:$AA,17,0)</f>
        <v>999-9999-9988</v>
      </c>
      <c r="U14" s="6" t="str">
        <f>VLOOKUP($B14,CSV!$A:$AA,25,0)</f>
        <v>銀行振込</v>
      </c>
    </row>
    <row r="15" spans="1:21">
      <c r="A15">
        <v>12</v>
      </c>
      <c r="B15" s="4" t="s">
        <v>56</v>
      </c>
      <c r="C15" s="5">
        <v>9520</v>
      </c>
      <c r="D15" s="5">
        <v>200</v>
      </c>
      <c r="E15" s="6">
        <f>VLOOKUP($B15,CSV!$A:$AA,2,0)</f>
        <v>42296.927083333336</v>
      </c>
      <c r="F15" s="6" t="str">
        <f>VLOOKUP($B15,CSV!$A:$AA,3,0)</f>
        <v>藤川</v>
      </c>
      <c r="G15" s="6" t="str">
        <f>VLOOKUP($B15,CSV!$A:$AA,4,0)</f>
        <v>真一</v>
      </c>
      <c r="H15" s="6" t="str">
        <f>VLOOKUP($B15,CSV!$A:$AA,5,0)</f>
        <v>111-1121</v>
      </c>
      <c r="I15" s="6" t="str">
        <f>VLOOKUP($B15,CSV!$A:$AA,6,0)</f>
        <v>東京都</v>
      </c>
      <c r="J15" s="6" t="str">
        <f>VLOOKUP($B15,CSV!$A:$AA,7,0)</f>
        <v>目黒区東山</v>
      </c>
      <c r="K15" s="6" t="str">
        <f>VLOOKUP($B15,CSV!$A:$AA,8,0)</f>
        <v>1-1-211</v>
      </c>
      <c r="L15" s="6" t="str">
        <f>VLOOKUP($B15,CSV!$A:$AA,9,0)</f>
        <v>999-9999-9990</v>
      </c>
      <c r="M15" s="6" t="str">
        <f>VLOOKUP($B15,CSV!$A:$AA,10,0)</f>
        <v>hoge@hoge.com</v>
      </c>
      <c r="N15" s="6" t="str">
        <f>VLOOKUP($B15,CSV!$A:$AA,11,0)</f>
        <v>藤川</v>
      </c>
      <c r="O15" s="6" t="str">
        <f>VLOOKUP($B15,CSV!$A:$AA,12,0)</f>
        <v>真一</v>
      </c>
      <c r="P15" s="6" t="str">
        <f>VLOOKUP($B15,CSV!$A:$AA,13,0)</f>
        <v>111-1121</v>
      </c>
      <c r="Q15" s="6" t="str">
        <f>VLOOKUP($B15,CSV!$A:$AA,14,0)</f>
        <v>東京都</v>
      </c>
      <c r="R15" s="6" t="str">
        <f>VLOOKUP($B15,CSV!$A:$AA,15,0)</f>
        <v>目黒区東山</v>
      </c>
      <c r="S15" s="6">
        <f>VLOOKUP($B15,CSV!$A:$AA,16,0)</f>
        <v>36925</v>
      </c>
      <c r="T15" s="6" t="str">
        <f>VLOOKUP($B15,CSV!$A:$AA,17,0)</f>
        <v>999-9999-9990</v>
      </c>
      <c r="U15" s="6" t="str">
        <f>VLOOKUP($B15,CSV!$A:$AA,25,0)</f>
        <v>銀行振込</v>
      </c>
    </row>
    <row r="16" spans="1:21">
      <c r="A16">
        <v>13</v>
      </c>
      <c r="B16" s="4" t="s">
        <v>45</v>
      </c>
      <c r="C16" s="5">
        <v>9520</v>
      </c>
      <c r="D16" s="5">
        <v>0</v>
      </c>
      <c r="E16" s="6">
        <f>VLOOKUP($B16,CSV!$A:$AA,2,0)</f>
        <v>42017.817361111112</v>
      </c>
      <c r="F16" s="6" t="str">
        <f>VLOOKUP($B16,CSV!$A:$AA,3,0)</f>
        <v>藤川購入テスト</v>
      </c>
      <c r="G16" s="6" t="str">
        <f>VLOOKUP($B16,CSV!$A:$AA,4,0)</f>
        <v>です</v>
      </c>
      <c r="H16" s="6" t="str">
        <f>VLOOKUP($B16,CSV!$A:$AA,5,0)</f>
        <v>111-1114</v>
      </c>
      <c r="I16" s="6" t="str">
        <f>VLOOKUP($B16,CSV!$A:$AA,6,0)</f>
        <v>東京都</v>
      </c>
      <c r="J16" s="6" t="str">
        <f>VLOOKUP($B16,CSV!$A:$AA,7,0)</f>
        <v>渋谷区道玄坂</v>
      </c>
      <c r="K16" s="6" t="str">
        <f>VLOOKUP($B16,CSV!$A:$AA,8,0)</f>
        <v>1-1-204</v>
      </c>
      <c r="L16" s="6" t="str">
        <f>VLOOKUP($B16,CSV!$A:$AA,9,0)</f>
        <v>999-9999-9983</v>
      </c>
      <c r="M16" s="6" t="str">
        <f>VLOOKUP($B16,CSV!$A:$AA,10,0)</f>
        <v>hoge@hoge.com</v>
      </c>
      <c r="N16" s="6" t="str">
        <f>VLOOKUP($B16,CSV!$A:$AA,11,0)</f>
        <v>藤川購入テスト</v>
      </c>
      <c r="O16" s="6" t="str">
        <f>VLOOKUP($B16,CSV!$A:$AA,12,0)</f>
        <v>です</v>
      </c>
      <c r="P16" s="6" t="str">
        <f>VLOOKUP($B16,CSV!$A:$AA,13,0)</f>
        <v>111-1114</v>
      </c>
      <c r="Q16" s="6" t="str">
        <f>VLOOKUP($B16,CSV!$A:$AA,14,0)</f>
        <v>東京都</v>
      </c>
      <c r="R16" s="6" t="str">
        <f>VLOOKUP($B16,CSV!$A:$AA,15,0)</f>
        <v>渋谷区道玄坂</v>
      </c>
      <c r="S16" s="6">
        <f>VLOOKUP($B16,CSV!$A:$AA,16,0)</f>
        <v>36892</v>
      </c>
      <c r="T16" s="6" t="str">
        <f>VLOOKUP($B16,CSV!$A:$AA,17,0)</f>
        <v>999-9999-9983</v>
      </c>
      <c r="U16" s="6" t="str">
        <f>VLOOKUP($B16,CSV!$A:$AA,25,0)</f>
        <v>銀行振込(ご自身の口座)</v>
      </c>
    </row>
    <row r="17" spans="1:21">
      <c r="A17">
        <v>14</v>
      </c>
      <c r="B17" s="4" t="s">
        <v>49</v>
      </c>
      <c r="C17" s="5">
        <v>19040</v>
      </c>
      <c r="D17" s="5">
        <v>200</v>
      </c>
      <c r="E17" s="6">
        <f>VLOOKUP($B17,CSV!$A:$AA,2,0)</f>
        <v>42296.890972222223</v>
      </c>
      <c r="F17" s="6" t="str">
        <f>VLOOKUP($B17,CSV!$A:$AA,3,0)</f>
        <v>藤川</v>
      </c>
      <c r="G17" s="6" t="str">
        <f>VLOOKUP($B17,CSV!$A:$AA,4,0)</f>
        <v>真一</v>
      </c>
      <c r="H17" s="6" t="str">
        <f>VLOOKUP($B17,CSV!$A:$AA,5,0)</f>
        <v>111-1115</v>
      </c>
      <c r="I17" s="6" t="str">
        <f>VLOOKUP($B17,CSV!$A:$AA,6,0)</f>
        <v>東京都</v>
      </c>
      <c r="J17" s="6" t="str">
        <f>VLOOKUP($B17,CSV!$A:$AA,7,0)</f>
        <v>目黒区中目黒</v>
      </c>
      <c r="K17" s="6" t="str">
        <f>VLOOKUP($B17,CSV!$A:$AA,8,0)</f>
        <v>1-1-205</v>
      </c>
      <c r="L17" s="6" t="str">
        <f>VLOOKUP($B17,CSV!$A:$AA,9,0)</f>
        <v>999-9999-9984</v>
      </c>
      <c r="M17" s="6" t="str">
        <f>VLOOKUP($B17,CSV!$A:$AA,10,0)</f>
        <v>hoge@hoge.com</v>
      </c>
      <c r="N17" s="6" t="str">
        <f>VLOOKUP($B17,CSV!$A:$AA,11,0)</f>
        <v>藤川</v>
      </c>
      <c r="O17" s="6" t="str">
        <f>VLOOKUP($B17,CSV!$A:$AA,12,0)</f>
        <v>真一</v>
      </c>
      <c r="P17" s="6" t="str">
        <f>VLOOKUP($B17,CSV!$A:$AA,13,0)</f>
        <v>111-1115</v>
      </c>
      <c r="Q17" s="6" t="str">
        <f>VLOOKUP($B17,CSV!$A:$AA,14,0)</f>
        <v>東京都</v>
      </c>
      <c r="R17" s="6" t="str">
        <f>VLOOKUP($B17,CSV!$A:$AA,15,0)</f>
        <v>目黒区中目黒</v>
      </c>
      <c r="S17" s="6">
        <f>VLOOKUP($B17,CSV!$A:$AA,16,0)</f>
        <v>36923</v>
      </c>
      <c r="T17" s="6" t="str">
        <f>VLOOKUP($B17,CSV!$A:$AA,17,0)</f>
        <v>999-9999-9984</v>
      </c>
      <c r="U17" s="6" t="str">
        <f>VLOOKUP($B17,CSV!$A:$AA,25,0)</f>
        <v>銀行振込</v>
      </c>
    </row>
    <row r="18" spans="1:21">
      <c r="A18">
        <v>15</v>
      </c>
      <c r="B18" s="4" t="s">
        <v>52</v>
      </c>
      <c r="C18" s="5">
        <v>19040</v>
      </c>
      <c r="D18" s="5">
        <v>200</v>
      </c>
      <c r="E18" s="6">
        <f>VLOOKUP($B18,CSV!$A:$AA,2,0)</f>
        <v>42296.911111111112</v>
      </c>
      <c r="F18" s="6" t="str">
        <f>VLOOKUP($B18,CSV!$A:$AA,3,0)</f>
        <v>藤川</v>
      </c>
      <c r="G18" s="6" t="str">
        <f>VLOOKUP($B18,CSV!$A:$AA,4,0)</f>
        <v>真一</v>
      </c>
      <c r="H18" s="6" t="str">
        <f>VLOOKUP($B18,CSV!$A:$AA,5,0)</f>
        <v>111-1117</v>
      </c>
      <c r="I18" s="6" t="str">
        <f>VLOOKUP($B18,CSV!$A:$AA,6,0)</f>
        <v>東京都</v>
      </c>
      <c r="J18" s="6" t="str">
        <f>VLOOKUP($B18,CSV!$A:$AA,7,0)</f>
        <v>目黒区中目黒</v>
      </c>
      <c r="K18" s="6" t="str">
        <f>VLOOKUP($B18,CSV!$A:$AA,8,0)</f>
        <v>1-1-207</v>
      </c>
      <c r="L18" s="6" t="str">
        <f>VLOOKUP($B18,CSV!$A:$AA,9,0)</f>
        <v>999-9999-9986</v>
      </c>
      <c r="M18" s="6" t="str">
        <f>VLOOKUP($B18,CSV!$A:$AA,10,0)</f>
        <v>hoge@hoge.com</v>
      </c>
      <c r="N18" s="6" t="str">
        <f>VLOOKUP($B18,CSV!$A:$AA,11,0)</f>
        <v>藤川</v>
      </c>
      <c r="O18" s="6" t="str">
        <f>VLOOKUP($B18,CSV!$A:$AA,12,0)</f>
        <v>真一</v>
      </c>
      <c r="P18" s="6" t="str">
        <f>VLOOKUP($B18,CSV!$A:$AA,13,0)</f>
        <v>111-1117</v>
      </c>
      <c r="Q18" s="6" t="str">
        <f>VLOOKUP($B18,CSV!$A:$AA,14,0)</f>
        <v>東京都</v>
      </c>
      <c r="R18" s="6" t="str">
        <f>VLOOKUP($B18,CSV!$A:$AA,15,0)</f>
        <v>目黒区中目黒</v>
      </c>
      <c r="S18" s="6">
        <f>VLOOKUP($B18,CSV!$A:$AA,16,0)</f>
        <v>36925</v>
      </c>
      <c r="T18" s="6" t="str">
        <f>VLOOKUP($B18,CSV!$A:$AA,17,0)</f>
        <v>999-9999-9986</v>
      </c>
      <c r="U18" s="6" t="str">
        <f>VLOOKUP($B18,CSV!$A:$AA,25,0)</f>
        <v>銀行振込</v>
      </c>
    </row>
    <row r="19" spans="1:21">
      <c r="A19">
        <v>16</v>
      </c>
      <c r="B19" s="4" t="s">
        <v>58</v>
      </c>
      <c r="C19" s="5">
        <v>19040</v>
      </c>
      <c r="D19" s="5">
        <v>200</v>
      </c>
      <c r="E19" s="6">
        <f>VLOOKUP($B19,CSV!$A:$AA,2,0)</f>
        <v>42296.932638888888</v>
      </c>
      <c r="F19" s="6" t="str">
        <f>VLOOKUP($B19,CSV!$A:$AA,3,0)</f>
        <v>藤川</v>
      </c>
      <c r="G19" s="6" t="str">
        <f>VLOOKUP($B19,CSV!$A:$AA,4,0)</f>
        <v>真一</v>
      </c>
      <c r="H19" s="6" t="str">
        <f>VLOOKUP($B19,CSV!$A:$AA,5,0)</f>
        <v>111-1122</v>
      </c>
      <c r="I19" s="6" t="str">
        <f>VLOOKUP($B19,CSV!$A:$AA,6,0)</f>
        <v>東京都</v>
      </c>
      <c r="J19" s="6" t="str">
        <f>VLOOKUP($B19,CSV!$A:$AA,7,0)</f>
        <v>目黒区東山</v>
      </c>
      <c r="K19" s="6" t="str">
        <f>VLOOKUP($B19,CSV!$A:$AA,8,0)</f>
        <v>1-1-212</v>
      </c>
      <c r="L19" s="6" t="str">
        <f>VLOOKUP($B19,CSV!$A:$AA,9,0)</f>
        <v>999-9999-9991</v>
      </c>
      <c r="M19" s="6" t="str">
        <f>VLOOKUP($B19,CSV!$A:$AA,10,0)</f>
        <v>hoge@hoge.com</v>
      </c>
      <c r="N19" s="6" t="str">
        <f>VLOOKUP($B19,CSV!$A:$AA,11,0)</f>
        <v>藤川</v>
      </c>
      <c r="O19" s="6" t="str">
        <f>VLOOKUP($B19,CSV!$A:$AA,12,0)</f>
        <v>真一</v>
      </c>
      <c r="P19" s="6" t="str">
        <f>VLOOKUP($B19,CSV!$A:$AA,13,0)</f>
        <v>111-1122</v>
      </c>
      <c r="Q19" s="6" t="str">
        <f>VLOOKUP($B19,CSV!$A:$AA,14,0)</f>
        <v>東京都</v>
      </c>
      <c r="R19" s="6" t="str">
        <f>VLOOKUP($B19,CSV!$A:$AA,15,0)</f>
        <v>目黒区東山</v>
      </c>
      <c r="S19" s="6">
        <f>VLOOKUP($B19,CSV!$A:$AA,16,0)</f>
        <v>36925</v>
      </c>
      <c r="T19" s="6" t="str">
        <f>VLOOKUP($B19,CSV!$A:$AA,17,0)</f>
        <v>999-9999-9991</v>
      </c>
      <c r="U19" s="6" t="str">
        <f>VLOOKUP($B19,CSV!$A:$AA,25,0)</f>
        <v>銀行振込</v>
      </c>
    </row>
    <row r="20" spans="1:21">
      <c r="A20">
        <v>17</v>
      </c>
      <c r="B20" s="4" t="s">
        <v>53</v>
      </c>
      <c r="C20" s="5">
        <v>28560</v>
      </c>
      <c r="D20" s="5">
        <v>200</v>
      </c>
      <c r="E20" s="6">
        <f>VLOOKUP($B20,CSV!$A:$AA,2,0)</f>
        <v>42296.912499999999</v>
      </c>
      <c r="F20" s="6" t="str">
        <f>VLOOKUP($B20,CSV!$A:$AA,3,0)</f>
        <v>藤川</v>
      </c>
      <c r="G20" s="6" t="str">
        <f>VLOOKUP($B20,CSV!$A:$AA,4,0)</f>
        <v>真一</v>
      </c>
      <c r="H20" s="6" t="str">
        <f>VLOOKUP($B20,CSV!$A:$AA,5,0)</f>
        <v>111-1118</v>
      </c>
      <c r="I20" s="6" t="str">
        <f>VLOOKUP($B20,CSV!$A:$AA,6,0)</f>
        <v>東京都</v>
      </c>
      <c r="J20" s="6" t="str">
        <f>VLOOKUP($B20,CSV!$A:$AA,7,0)</f>
        <v>目黒区中目黒</v>
      </c>
      <c r="K20" s="6" t="str">
        <f>VLOOKUP($B20,CSV!$A:$AA,8,0)</f>
        <v>1-1-208</v>
      </c>
      <c r="L20" s="6" t="str">
        <f>VLOOKUP($B20,CSV!$A:$AA,9,0)</f>
        <v>999-9999-9987</v>
      </c>
      <c r="M20" s="6" t="str">
        <f>VLOOKUP($B20,CSV!$A:$AA,10,0)</f>
        <v>hoge@hoge.com</v>
      </c>
      <c r="N20" s="6" t="str">
        <f>VLOOKUP($B20,CSV!$A:$AA,11,0)</f>
        <v>藤川</v>
      </c>
      <c r="O20" s="6" t="str">
        <f>VLOOKUP($B20,CSV!$A:$AA,12,0)</f>
        <v>真一</v>
      </c>
      <c r="P20" s="6" t="str">
        <f>VLOOKUP($B20,CSV!$A:$AA,13,0)</f>
        <v>111-1118</v>
      </c>
      <c r="Q20" s="6" t="str">
        <f>VLOOKUP($B20,CSV!$A:$AA,14,0)</f>
        <v>東京都</v>
      </c>
      <c r="R20" s="6" t="str">
        <f>VLOOKUP($B20,CSV!$A:$AA,15,0)</f>
        <v>目黒区中目黒</v>
      </c>
      <c r="S20" s="6">
        <f>VLOOKUP($B20,CSV!$A:$AA,16,0)</f>
        <v>36925</v>
      </c>
      <c r="T20" s="6" t="str">
        <f>VLOOKUP($B20,CSV!$A:$AA,17,0)</f>
        <v>999-9999-9987</v>
      </c>
      <c r="U20" s="6" t="str">
        <f>VLOOKUP($B20,CSV!$A:$AA,25,0)</f>
        <v>銀行振込</v>
      </c>
    </row>
    <row r="21" spans="1:21">
      <c r="A21">
        <v>18</v>
      </c>
      <c r="B21" s="4" t="s">
        <v>69</v>
      </c>
      <c r="C21" s="5">
        <v>19040</v>
      </c>
      <c r="D21" s="5">
        <v>200</v>
      </c>
      <c r="E21" s="6">
        <f>VLOOKUP($B21,CSV!$A:$AA,2,0)</f>
        <v>42296.948611111111</v>
      </c>
      <c r="F21" s="6" t="str">
        <f>VLOOKUP($B21,CSV!$A:$AA,3,0)</f>
        <v>fujikawa</v>
      </c>
      <c r="G21" s="6" t="str">
        <f>VLOOKUP($B21,CSV!$A:$AA,4,0)</f>
        <v>shinihci</v>
      </c>
      <c r="H21" s="6" t="str">
        <f>VLOOKUP($B21,CSV!$A:$AA,5,0)</f>
        <v>111-1132</v>
      </c>
      <c r="I21" s="6" t="str">
        <f>VLOOKUP($B21,CSV!$A:$AA,6,0)</f>
        <v>東京都</v>
      </c>
      <c r="J21" s="6" t="str">
        <f>VLOOKUP($B21,CSV!$A:$AA,7,0)</f>
        <v>目黒区東山</v>
      </c>
      <c r="K21" s="6" t="str">
        <f>VLOOKUP($B21,CSV!$A:$AA,8,0)</f>
        <v>1-1-222</v>
      </c>
      <c r="L21" s="6" t="str">
        <f>VLOOKUP($B21,CSV!$A:$AA,9,0)</f>
        <v>999-9999-10001</v>
      </c>
      <c r="M21" s="6" t="str">
        <f>VLOOKUP($B21,CSV!$A:$AA,10,0)</f>
        <v>hoge@hoge.com</v>
      </c>
      <c r="N21" s="6" t="str">
        <f>VLOOKUP($B21,CSV!$A:$AA,11,0)</f>
        <v>fujikawa</v>
      </c>
      <c r="O21" s="6" t="str">
        <f>VLOOKUP($B21,CSV!$A:$AA,12,0)</f>
        <v>shinihci</v>
      </c>
      <c r="P21" s="6" t="str">
        <f>VLOOKUP($B21,CSV!$A:$AA,13,0)</f>
        <v>111-1132</v>
      </c>
      <c r="Q21" s="6" t="str">
        <f>VLOOKUP($B21,CSV!$A:$AA,14,0)</f>
        <v>東京都</v>
      </c>
      <c r="R21" s="6" t="str">
        <f>VLOOKUP($B21,CSV!$A:$AA,15,0)</f>
        <v>目黒区東山</v>
      </c>
      <c r="S21" s="6" t="str">
        <f>VLOOKUP($B21,CSV!$A:$AA,16,0)</f>
        <v>102-3</v>
      </c>
      <c r="T21" s="6" t="str">
        <f>VLOOKUP($B21,CSV!$A:$AA,17,0)</f>
        <v>999-9999-10001</v>
      </c>
      <c r="U21" s="6" t="str">
        <f>VLOOKUP($B21,CSV!$A:$AA,25,0)</f>
        <v>銀行振込</v>
      </c>
    </row>
    <row r="22" spans="1:21">
      <c r="B22" s="4" t="s">
        <v>106</v>
      </c>
      <c r="C22" s="5"/>
      <c r="D22" s="5"/>
      <c r="E22" s="6"/>
      <c r="F22" s="6"/>
      <c r="G22" s="6"/>
      <c r="H22" s="6"/>
      <c r="I22" s="6"/>
      <c r="J22" s="6"/>
      <c r="K22" s="6"/>
      <c r="L22" s="6"/>
      <c r="M22" s="6"/>
      <c r="N22" s="6"/>
      <c r="O22" s="6"/>
      <c r="P22" s="6"/>
      <c r="Q22" s="6"/>
      <c r="R22" s="6"/>
      <c r="S22" s="6"/>
      <c r="T22" s="6"/>
      <c r="U22" s="6"/>
    </row>
    <row r="23" spans="1:21">
      <c r="B23" s="4" t="s">
        <v>79</v>
      </c>
      <c r="C23" s="5">
        <v>255720</v>
      </c>
      <c r="D23" s="5">
        <v>200</v>
      </c>
    </row>
    <row r="25" spans="1:21">
      <c r="E25" s="6"/>
      <c r="F25" s="6"/>
      <c r="G25" s="6"/>
      <c r="H25" s="6"/>
      <c r="I25" s="6"/>
      <c r="J25" s="6"/>
      <c r="K25" s="6"/>
      <c r="L25" s="6"/>
      <c r="M25" s="6"/>
      <c r="N25" s="6"/>
      <c r="O25" s="6"/>
      <c r="P25" s="6"/>
      <c r="Q25" s="6"/>
      <c r="R25" s="6"/>
      <c r="S25" s="6"/>
      <c r="T25" s="6"/>
      <c r="U25" s="6"/>
    </row>
    <row r="28" spans="1:21">
      <c r="E28" s="6"/>
      <c r="F28" s="6"/>
      <c r="G28" s="6"/>
      <c r="H28" s="6"/>
      <c r="I28" s="6"/>
      <c r="J28" s="6"/>
      <c r="K28" s="6"/>
      <c r="L28" s="6"/>
      <c r="M28" s="6"/>
      <c r="N28" s="6"/>
      <c r="O28" s="6"/>
      <c r="P28" s="6"/>
      <c r="Q28" s="6"/>
      <c r="R28" s="6"/>
      <c r="S28" s="6"/>
      <c r="T28" s="6"/>
      <c r="U28" s="6"/>
    </row>
    <row r="30" spans="1:21">
      <c r="E30" s="6"/>
      <c r="F30" s="6"/>
      <c r="G30" s="6"/>
      <c r="H30" s="6"/>
      <c r="I30" s="6"/>
      <c r="J30" s="6"/>
      <c r="K30" s="6"/>
      <c r="L30" s="6"/>
      <c r="M30" s="6"/>
      <c r="N30" s="6"/>
      <c r="O30" s="6"/>
      <c r="P30" s="6"/>
      <c r="Q30" s="6"/>
      <c r="R30" s="6"/>
      <c r="S30" s="6"/>
      <c r="T30" s="6"/>
      <c r="U30" s="6"/>
    </row>
    <row r="32" spans="1:21">
      <c r="E32" s="6"/>
      <c r="F32" s="6"/>
      <c r="G32" s="6"/>
      <c r="H32" s="6"/>
      <c r="I32" s="6"/>
      <c r="J32" s="6"/>
      <c r="K32" s="6"/>
      <c r="L32" s="6"/>
      <c r="M32" s="6"/>
      <c r="N32" s="6"/>
      <c r="O32" s="6"/>
      <c r="P32" s="6"/>
      <c r="Q32" s="6"/>
      <c r="R32" s="6"/>
      <c r="S32" s="6"/>
      <c r="T32" s="6"/>
      <c r="U32" s="6"/>
    </row>
    <row r="34" spans="5:21">
      <c r="E34" s="6"/>
      <c r="F34" s="6"/>
      <c r="G34" s="6"/>
      <c r="H34" s="6"/>
      <c r="I34" s="6"/>
      <c r="J34" s="6"/>
      <c r="K34" s="6"/>
      <c r="L34" s="6"/>
      <c r="M34" s="6"/>
      <c r="N34" s="6"/>
      <c r="O34" s="6"/>
      <c r="P34" s="6"/>
      <c r="Q34" s="6"/>
      <c r="R34" s="6"/>
      <c r="S34" s="6"/>
      <c r="T34" s="6"/>
      <c r="U34" s="6"/>
    </row>
    <row r="37" spans="5:21">
      <c r="E37" s="6"/>
      <c r="F37" s="6"/>
      <c r="G37" s="6"/>
      <c r="H37" s="6"/>
      <c r="I37" s="6"/>
      <c r="J37" s="6"/>
      <c r="K37" s="6"/>
      <c r="L37" s="6"/>
      <c r="M37" s="6"/>
      <c r="N37" s="6"/>
      <c r="O37" s="6"/>
      <c r="P37" s="6"/>
      <c r="Q37" s="6"/>
      <c r="R37" s="6"/>
      <c r="S37" s="6"/>
      <c r="T37" s="6"/>
      <c r="U37" s="6"/>
    </row>
    <row r="39" spans="5:21">
      <c r="E39" s="6"/>
      <c r="F39" s="6"/>
      <c r="G39" s="6"/>
      <c r="H39" s="6"/>
      <c r="I39" s="6"/>
      <c r="J39" s="6"/>
      <c r="K39" s="6"/>
      <c r="L39" s="6"/>
      <c r="M39" s="6"/>
      <c r="N39" s="6"/>
      <c r="O39" s="6"/>
      <c r="P39" s="6"/>
      <c r="Q39" s="6"/>
      <c r="R39" s="6"/>
      <c r="S39" s="6"/>
      <c r="T39" s="6"/>
      <c r="U39" s="6"/>
    </row>
    <row r="42" spans="5:21">
      <c r="E42" s="6"/>
      <c r="F42" s="6"/>
      <c r="G42" s="6"/>
      <c r="H42" s="6"/>
      <c r="I42" s="6"/>
      <c r="J42" s="6"/>
      <c r="K42" s="6"/>
      <c r="L42" s="6"/>
      <c r="M42" s="6"/>
      <c r="N42" s="6"/>
      <c r="O42" s="6"/>
      <c r="P42" s="6"/>
      <c r="Q42" s="6"/>
      <c r="R42" s="6"/>
      <c r="S42" s="6"/>
      <c r="T42" s="6"/>
      <c r="U42" s="6"/>
    </row>
    <row r="44" spans="5:21">
      <c r="E44" s="6"/>
      <c r="F44" s="6"/>
      <c r="G44" s="6"/>
      <c r="H44" s="6"/>
      <c r="I44" s="6"/>
      <c r="J44" s="6"/>
      <c r="K44" s="6"/>
      <c r="L44" s="6"/>
      <c r="M44" s="6"/>
      <c r="N44" s="6"/>
      <c r="O44" s="6"/>
      <c r="P44" s="6"/>
      <c r="Q44" s="6"/>
      <c r="R44" s="6"/>
      <c r="S44" s="6"/>
      <c r="T44" s="6"/>
      <c r="U44" s="6"/>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36"/>
  <sheetViews>
    <sheetView topLeftCell="A66" workbookViewId="0">
      <selection activeCell="A82" sqref="A82"/>
    </sheetView>
  </sheetViews>
  <sheetFormatPr defaultRowHeight="19.5"/>
  <cols>
    <col min="1" max="1" width="22.7265625" customWidth="1"/>
    <col min="3" max="3" width="20" bestFit="1" customWidth="1"/>
    <col min="4" max="4" width="28" customWidth="1"/>
  </cols>
  <sheetData>
    <row r="1" spans="1:8">
      <c r="A1" t="s">
        <v>84</v>
      </c>
      <c r="B1" t="s">
        <v>83</v>
      </c>
      <c r="F1" t="s">
        <v>87</v>
      </c>
      <c r="G1" t="s">
        <v>86</v>
      </c>
      <c r="H1" t="s">
        <v>85</v>
      </c>
    </row>
    <row r="2" spans="1:8">
      <c r="A2" s="9" t="str">
        <f>CSV!$A2</f>
        <v>1F49E388FCA97A95</v>
      </c>
      <c r="B2">
        <f>COUNTIF(CSV!$A$2:'CSV'!A2,CSV!A2)</f>
        <v>1</v>
      </c>
      <c r="C2" t="str">
        <f>A2 &amp; "-" &amp; B2</f>
        <v>1F49E388FCA97A95-1</v>
      </c>
      <c r="D2" t="str">
        <f>CSV!$S2</f>
        <v>Sunset of Honolulu Beach</v>
      </c>
      <c r="E2" s="5" t="str">
        <f>IF(CSV!$T2&lt;&gt;"",CSV!$T2,"")</f>
        <v/>
      </c>
      <c r="F2">
        <f>CSV!$U2</f>
        <v>2380</v>
      </c>
      <c r="G2">
        <f>CSV!$V2</f>
        <v>1</v>
      </c>
      <c r="H2">
        <f>CSV!$W2</f>
        <v>2380</v>
      </c>
    </row>
    <row r="3" spans="1:8">
      <c r="A3" s="9" t="str">
        <f>CSV!$A3</f>
        <v>515E3C014C0A0D23</v>
      </c>
      <c r="B3">
        <f>COUNTIF(CSV!$A$2:'CSV'!A3,CSV!A3)</f>
        <v>1</v>
      </c>
      <c r="C3" t="str">
        <f t="shared" ref="C3:C23" si="0">A3 &amp; "-" &amp; B3</f>
        <v>515E3C014C0A0D23-1</v>
      </c>
      <c r="D3" t="str">
        <f>CSV!$S3</f>
        <v>reserve</v>
      </c>
      <c r="E3" s="5" t="str">
        <f>IF(CSV!$T3&lt;&gt;"",CSV!$T3,"")</f>
        <v>サイズA</v>
      </c>
      <c r="F3">
        <f>CSV!$U3</f>
        <v>100</v>
      </c>
      <c r="G3">
        <f>CSV!$V3</f>
        <v>1</v>
      </c>
      <c r="H3">
        <f>CSV!$W3</f>
        <v>100</v>
      </c>
    </row>
    <row r="4" spans="1:8">
      <c r="A4" s="9" t="str">
        <f>CSV!$A4</f>
        <v>00CE7C7588D8F5C2</v>
      </c>
      <c r="B4">
        <f>COUNTIF(CSV!$A$2:'CSV'!A4,CSV!A4)</f>
        <v>1</v>
      </c>
      <c r="C4" t="str">
        <f t="shared" si="0"/>
        <v>00CE7C7588D8F5C2-1</v>
      </c>
      <c r="D4" t="str">
        <f>CSV!$S4</f>
        <v>リンツショコラ・カフェ　渋谷 reserve</v>
      </c>
      <c r="E4" s="5" t="str">
        <f>IF(CSV!$T4&lt;&gt;"",CSV!$T4,"")</f>
        <v/>
      </c>
      <c r="F4">
        <f>CSV!$U4</f>
        <v>100</v>
      </c>
      <c r="G4">
        <f>CSV!$V4</f>
        <v>1</v>
      </c>
      <c r="H4">
        <f>CSV!$W4</f>
        <v>100</v>
      </c>
    </row>
    <row r="5" spans="1:8">
      <c r="A5" s="9" t="str">
        <f>CSV!$A5</f>
        <v>9B6C71A3B1C1C2E3</v>
      </c>
      <c r="B5">
        <f>COUNTIF(CSV!$A$2:'CSV'!A5,CSV!A5)</f>
        <v>1</v>
      </c>
      <c r="C5" t="str">
        <f t="shared" si="0"/>
        <v>9B6C71A3B1C1C2E3-1</v>
      </c>
      <c r="D5" t="str">
        <f>CSV!$S5</f>
        <v>The Modern Honolulu</v>
      </c>
      <c r="E5" s="5" t="str">
        <f>IF(CSV!$T5&lt;&gt;"",CSV!$T5,"")</f>
        <v/>
      </c>
      <c r="F5">
        <f>CSV!$U5</f>
        <v>2380</v>
      </c>
      <c r="G5">
        <f>CSV!$V5</f>
        <v>1</v>
      </c>
      <c r="H5">
        <f>CSV!$W5</f>
        <v>2380</v>
      </c>
    </row>
    <row r="6" spans="1:8">
      <c r="A6" s="9" t="str">
        <f>CSV!$A6</f>
        <v>C3C146FE4CD2D8D8</v>
      </c>
      <c r="B6">
        <f>COUNTIF(CSV!$A$2:'CSV'!A6,CSV!A6)</f>
        <v>1</v>
      </c>
      <c r="C6" t="str">
        <f t="shared" si="0"/>
        <v>C3C146FE4CD2D8D8-1</v>
      </c>
      <c r="D6" t="str">
        <f>CSV!$S6</f>
        <v>マイルドヤンキーケース</v>
      </c>
      <c r="E6" s="5" t="str">
        <f>IF(CSV!$T6&lt;&gt;"",CSV!$T6,"")</f>
        <v/>
      </c>
      <c r="F6">
        <f>CSV!$U6</f>
        <v>2380</v>
      </c>
      <c r="G6">
        <f>CSV!$V6</f>
        <v>1</v>
      </c>
      <c r="H6">
        <f>CSV!$W6</f>
        <v>2380</v>
      </c>
    </row>
    <row r="7" spans="1:8">
      <c r="A7" s="9" t="str">
        <f>CSV!$A7</f>
        <v>C3C146FE4CD2D8D8</v>
      </c>
      <c r="B7">
        <f>COUNTIF(CSV!$A$2:'CSV'!A7,CSV!A7)</f>
        <v>2</v>
      </c>
      <c r="C7" t="str">
        <f t="shared" si="0"/>
        <v>C3C146FE4CD2D8D8-2</v>
      </c>
      <c r="D7" t="str">
        <f>CSV!$S7</f>
        <v>The Modern Honolulu</v>
      </c>
      <c r="E7" s="5" t="str">
        <f>IF(CSV!$T7&lt;&gt;"",CSV!$T7,"")</f>
        <v/>
      </c>
      <c r="F7">
        <f>CSV!$U7</f>
        <v>2380</v>
      </c>
      <c r="G7">
        <f>CSV!$V7</f>
        <v>1</v>
      </c>
      <c r="H7">
        <f>CSV!$W7</f>
        <v>2380</v>
      </c>
    </row>
    <row r="8" spans="1:8">
      <c r="A8" s="9" t="str">
        <f>CSV!$A8</f>
        <v>E483133970132B96</v>
      </c>
      <c r="B8">
        <f>COUNTIF(CSV!$A$2:'CSV'!A8,CSV!A8)</f>
        <v>1</v>
      </c>
      <c r="C8" t="str">
        <f t="shared" si="0"/>
        <v>E483133970132B96-1</v>
      </c>
      <c r="D8" t="str">
        <f>CSV!$S8</f>
        <v>Sunset of Honolulu Beach</v>
      </c>
      <c r="E8" s="5" t="str">
        <f>IF(CSV!$T8&lt;&gt;"",CSV!$T8,"")</f>
        <v/>
      </c>
      <c r="F8">
        <f>CSV!$U8</f>
        <v>2380</v>
      </c>
      <c r="G8">
        <f>CSV!$V8</f>
        <v>2</v>
      </c>
      <c r="H8">
        <f>CSV!$W8</f>
        <v>4760</v>
      </c>
    </row>
    <row r="9" spans="1:8">
      <c r="A9" s="9" t="str">
        <f>CSV!$A9</f>
        <v>F01F147D0F3447BE</v>
      </c>
      <c r="B9">
        <f>COUNTIF(CSV!$A$2:'CSV'!A9,CSV!A9)</f>
        <v>1</v>
      </c>
      <c r="C9" t="str">
        <f t="shared" si="0"/>
        <v>F01F147D0F3447BE-1</v>
      </c>
      <c r="D9" t="str">
        <f>CSV!$S9</f>
        <v>Sunset of Honolulu Beach</v>
      </c>
      <c r="E9" s="5" t="str">
        <f>IF(CSV!$T9&lt;&gt;"",CSV!$T9,"")</f>
        <v/>
      </c>
      <c r="F9">
        <f>CSV!$U9</f>
        <v>2380</v>
      </c>
      <c r="G9">
        <f>CSV!$V9</f>
        <v>3</v>
      </c>
      <c r="H9">
        <f>CSV!$W9</f>
        <v>7140</v>
      </c>
    </row>
    <row r="10" spans="1:8">
      <c r="A10" s="9" t="str">
        <f>CSV!$A10</f>
        <v>6D6CA2DF8112B6E6</v>
      </c>
      <c r="B10">
        <f>COUNTIF(CSV!$A$2:'CSV'!A10,CSV!A10)</f>
        <v>1</v>
      </c>
      <c r="C10" t="str">
        <f t="shared" si="0"/>
        <v>6D6CA2DF8112B6E6-1</v>
      </c>
      <c r="D10" t="str">
        <f>CSV!$S10</f>
        <v>Sunset of Honolulu Beach</v>
      </c>
      <c r="E10" s="5" t="str">
        <f>IF(CSV!$T10&lt;&gt;"",CSV!$T10,"")</f>
        <v/>
      </c>
      <c r="F10">
        <f>CSV!$U10</f>
        <v>2380</v>
      </c>
      <c r="G10">
        <f>CSV!$V10</f>
        <v>2</v>
      </c>
      <c r="H10">
        <f>CSV!$W10</f>
        <v>4760</v>
      </c>
    </row>
    <row r="11" spans="1:8">
      <c r="A11" s="9" t="str">
        <f>CSV!$A11</f>
        <v>1C5218267981E345</v>
      </c>
      <c r="B11">
        <f>COUNTIF(CSV!$A$2:'CSV'!A11,CSV!A11)</f>
        <v>1</v>
      </c>
      <c r="C11" t="str">
        <f t="shared" si="0"/>
        <v>1C5218267981E345-1</v>
      </c>
      <c r="D11" t="str">
        <f>CSV!$S11</f>
        <v>Sunset of Honolulu Beach</v>
      </c>
      <c r="E11" s="5" t="str">
        <f>IF(CSV!$T11&lt;&gt;"",CSV!$T11,"")</f>
        <v/>
      </c>
      <c r="F11">
        <f>CSV!$U11</f>
        <v>2380</v>
      </c>
      <c r="G11">
        <f>CSV!$V11</f>
        <v>1</v>
      </c>
      <c r="H11">
        <f>CSV!$W11</f>
        <v>2380</v>
      </c>
    </row>
    <row r="12" spans="1:8">
      <c r="A12" s="9" t="str">
        <f>CSV!$A12</f>
        <v>93991EC6E33140D0</v>
      </c>
      <c r="B12">
        <f>COUNTIF(CSV!$A$2:'CSV'!A12,CSV!A12)</f>
        <v>1</v>
      </c>
      <c r="C12" t="str">
        <f t="shared" si="0"/>
        <v>93991EC6E33140D0-1</v>
      </c>
      <c r="D12" t="str">
        <f>CSV!$S12</f>
        <v>Sunset of Honolulu Beach</v>
      </c>
      <c r="E12" s="5" t="str">
        <f>IF(CSV!$T12&lt;&gt;"",CSV!$T12,"")</f>
        <v/>
      </c>
      <c r="F12">
        <f>CSV!$U12</f>
        <v>2380</v>
      </c>
      <c r="G12">
        <f>CSV!$V12</f>
        <v>1</v>
      </c>
      <c r="H12">
        <f>CSV!$W12</f>
        <v>2380</v>
      </c>
    </row>
    <row r="13" spans="1:8">
      <c r="A13" s="9" t="str">
        <f>CSV!$A13</f>
        <v>EB2CED3D0E1A7607</v>
      </c>
      <c r="B13">
        <f>COUNTIF(CSV!$A$2:'CSV'!A13,CSV!A13)</f>
        <v>1</v>
      </c>
      <c r="C13" t="str">
        <f t="shared" si="0"/>
        <v>EB2CED3D0E1A7607-1</v>
      </c>
      <c r="D13" t="str">
        <f>CSV!$S13</f>
        <v>China town in Japan</v>
      </c>
      <c r="E13" s="5" t="str">
        <f>IF(CSV!$T13&lt;&gt;"",CSV!$T13,"")</f>
        <v/>
      </c>
      <c r="F13">
        <f>CSV!$U13</f>
        <v>2380</v>
      </c>
      <c r="G13">
        <f>CSV!$V13</f>
        <v>1</v>
      </c>
      <c r="H13">
        <f>CSV!$W13</f>
        <v>2380</v>
      </c>
    </row>
    <row r="14" spans="1:8">
      <c r="A14" s="9" t="str">
        <f>CSV!$A14</f>
        <v>EB2CED3D0E1A7607</v>
      </c>
      <c r="B14">
        <f>COUNTIF(CSV!$A$2:'CSV'!A14,CSV!A14)</f>
        <v>2</v>
      </c>
      <c r="C14" t="str">
        <f t="shared" si="0"/>
        <v>EB2CED3D0E1A7607-2</v>
      </c>
      <c r="D14" t="str">
        <f>CSV!$S14</f>
        <v>Route 66</v>
      </c>
      <c r="E14" s="5" t="str">
        <f>IF(CSV!$T14&lt;&gt;"",CSV!$T14,"")</f>
        <v/>
      </c>
      <c r="F14">
        <f>CSV!$U14</f>
        <v>2380</v>
      </c>
      <c r="G14">
        <f>CSV!$V14</f>
        <v>1</v>
      </c>
      <c r="H14">
        <f>CSV!$W14</f>
        <v>2380</v>
      </c>
    </row>
    <row r="15" spans="1:8">
      <c r="A15" s="9" t="str">
        <f>CSV!$A15</f>
        <v>67CDE974345FA606</v>
      </c>
      <c r="B15">
        <f>COUNTIF(CSV!$A$2:'CSV'!A15,CSV!A15)</f>
        <v>1</v>
      </c>
      <c r="C15" t="str">
        <f t="shared" si="0"/>
        <v>67CDE974345FA606-1</v>
      </c>
      <c r="D15" t="str">
        <f>CSV!$S15</f>
        <v>Route 66</v>
      </c>
      <c r="E15" s="5" t="str">
        <f>IF(CSV!$T15&lt;&gt;"",CSV!$T15,"")</f>
        <v/>
      </c>
      <c r="F15">
        <f>CSV!$U15</f>
        <v>2380</v>
      </c>
      <c r="G15">
        <f>CSV!$V15</f>
        <v>1</v>
      </c>
      <c r="H15">
        <f>CSV!$W15</f>
        <v>2380</v>
      </c>
    </row>
    <row r="16" spans="1:8">
      <c r="A16" s="9" t="str">
        <f>CSV!$A16</f>
        <v>67CDE974345FA606</v>
      </c>
      <c r="B16">
        <f>COUNTIF(CSV!$A$2:'CSV'!A16,CSV!A16)</f>
        <v>2</v>
      </c>
      <c r="C16" t="str">
        <f t="shared" si="0"/>
        <v>67CDE974345FA606-2</v>
      </c>
      <c r="D16" t="str">
        <f>CSV!$S16</f>
        <v>China town in Japan</v>
      </c>
      <c r="E16" s="5" t="str">
        <f>IF(CSV!$T16&lt;&gt;"",CSV!$T16,"")</f>
        <v/>
      </c>
      <c r="F16">
        <f>CSV!$U16</f>
        <v>2380</v>
      </c>
      <c r="G16">
        <f>CSV!$V16</f>
        <v>1</v>
      </c>
      <c r="H16">
        <f>CSV!$W16</f>
        <v>2380</v>
      </c>
    </row>
    <row r="17" spans="1:8">
      <c r="A17" s="9" t="str">
        <f>CSV!$A17</f>
        <v>5E1AEA5E021DDB21</v>
      </c>
      <c r="B17">
        <f>COUNTIF(CSV!$A$2:'CSV'!A17,CSV!A17)</f>
        <v>1</v>
      </c>
      <c r="C17" t="str">
        <f t="shared" si="0"/>
        <v>5E1AEA5E021DDB21-1</v>
      </c>
      <c r="D17" t="str">
        <f>CSV!$S17</f>
        <v>Route 66</v>
      </c>
      <c r="E17" s="5" t="str">
        <f>IF(CSV!$T17&lt;&gt;"",CSV!$T17,"")</f>
        <v/>
      </c>
      <c r="F17">
        <f>CSV!$U17</f>
        <v>2380</v>
      </c>
      <c r="G17">
        <f>CSV!$V17</f>
        <v>1</v>
      </c>
      <c r="H17">
        <f>CSV!$W17</f>
        <v>2380</v>
      </c>
    </row>
    <row r="18" spans="1:8">
      <c r="A18" s="9" t="str">
        <f>CSV!$A18</f>
        <v>5E1AEA5E021DDB21</v>
      </c>
      <c r="B18">
        <f>COUNTIF(CSV!$A$2:'CSV'!A18,CSV!A18)</f>
        <v>2</v>
      </c>
      <c r="C18" t="str">
        <f t="shared" si="0"/>
        <v>5E1AEA5E021DDB21-2</v>
      </c>
      <c r="D18" t="str">
        <f>CSV!$S18</f>
        <v>マイルドヤンキーケース</v>
      </c>
      <c r="E18" s="5" t="str">
        <f>IF(CSV!$T18&lt;&gt;"",CSV!$T18,"")</f>
        <v/>
      </c>
      <c r="F18">
        <f>CSV!$U18</f>
        <v>2380</v>
      </c>
      <c r="G18">
        <f>CSV!$V18</f>
        <v>1</v>
      </c>
      <c r="H18">
        <f>CSV!$W18</f>
        <v>2380</v>
      </c>
    </row>
    <row r="19" spans="1:8">
      <c r="A19" s="9" t="str">
        <f>CSV!$A19</f>
        <v>054D0D6A07404873</v>
      </c>
      <c r="B19">
        <f>COUNTIF(CSV!$A$2:'CSV'!A19,CSV!A19)</f>
        <v>1</v>
      </c>
      <c r="C19" t="str">
        <f t="shared" si="0"/>
        <v>054D0D6A07404873-1</v>
      </c>
      <c r="D19" t="str">
        <f>CSV!$S19</f>
        <v>The Modern Honolulu</v>
      </c>
      <c r="E19" s="5" t="str">
        <f>IF(CSV!$T19&lt;&gt;"",CSV!$T19,"")</f>
        <v/>
      </c>
      <c r="F19">
        <f>CSV!$U19</f>
        <v>2380</v>
      </c>
      <c r="G19">
        <f>CSV!$V19</f>
        <v>1</v>
      </c>
      <c r="H19">
        <f>CSV!$W19</f>
        <v>2380</v>
      </c>
    </row>
    <row r="20" spans="1:8">
      <c r="A20" s="9" t="str">
        <f>CSV!$A20</f>
        <v>054D0D6A07404873</v>
      </c>
      <c r="B20">
        <f>COUNTIF(CSV!$A$2:'CSV'!A20,CSV!A20)</f>
        <v>2</v>
      </c>
      <c r="C20" t="str">
        <f t="shared" si="0"/>
        <v>054D0D6A07404873-2</v>
      </c>
      <c r="D20" t="str">
        <f>CSV!$S20</f>
        <v>Route 66</v>
      </c>
      <c r="E20" s="5" t="str">
        <f>IF(CSV!$T20&lt;&gt;"",CSV!$T20,"")</f>
        <v/>
      </c>
      <c r="F20">
        <f>CSV!$U20</f>
        <v>2380</v>
      </c>
      <c r="G20">
        <f>CSV!$V20</f>
        <v>1</v>
      </c>
      <c r="H20">
        <f>CSV!$W20</f>
        <v>2380</v>
      </c>
    </row>
    <row r="21" spans="1:8">
      <c r="A21" s="9" t="str">
        <f>CSV!$A21</f>
        <v>510992F53B0A7B40</v>
      </c>
      <c r="B21">
        <f>COUNTIF(CSV!$A$2:'CSV'!A21,CSV!A21)</f>
        <v>1</v>
      </c>
      <c r="C21" t="str">
        <f t="shared" si="0"/>
        <v>510992F53B0A7B40-1</v>
      </c>
      <c r="D21" t="str">
        <f>CSV!$S21</f>
        <v>Route 66</v>
      </c>
      <c r="E21" s="5" t="str">
        <f>IF(CSV!$T21&lt;&gt;"",CSV!$T21,"")</f>
        <v/>
      </c>
      <c r="F21">
        <f>CSV!$U21</f>
        <v>2380</v>
      </c>
      <c r="G21">
        <f>CSV!$V21</f>
        <v>1</v>
      </c>
      <c r="H21">
        <f>CSV!$W21</f>
        <v>2380</v>
      </c>
    </row>
    <row r="22" spans="1:8">
      <c r="A22" s="9" t="str">
        <f>CSV!$A22</f>
        <v>510992F53B0A7B40</v>
      </c>
      <c r="B22">
        <f>COUNTIF(CSV!$A$2:'CSV'!A22,CSV!A22)</f>
        <v>2</v>
      </c>
      <c r="C22" t="str">
        <f t="shared" si="0"/>
        <v>510992F53B0A7B40-2</v>
      </c>
      <c r="D22" t="str">
        <f>CSV!$S22</f>
        <v>The Modern Honolulu</v>
      </c>
      <c r="E22" s="5" t="str">
        <f>IF(CSV!$T22&lt;&gt;"",CSV!$T22,"")</f>
        <v/>
      </c>
      <c r="F22">
        <f>CSV!$U22</f>
        <v>2380</v>
      </c>
      <c r="G22">
        <f>CSV!$V22</f>
        <v>1</v>
      </c>
      <c r="H22">
        <f>CSV!$W22</f>
        <v>2380</v>
      </c>
    </row>
    <row r="23" spans="1:8">
      <c r="A23" s="9" t="str">
        <f>CSV!$A23</f>
        <v>F194D5B468F78572</v>
      </c>
      <c r="B23">
        <f>COUNTIF(CSV!$A$2:'CSV'!A23,CSV!A23)</f>
        <v>1</v>
      </c>
      <c r="C23" t="str">
        <f t="shared" si="0"/>
        <v>F194D5B468F78572-1</v>
      </c>
      <c r="D23" t="str">
        <f>CSV!$S23</f>
        <v>Route 66</v>
      </c>
      <c r="E23" s="5" t="str">
        <f>IF(CSV!$T23&lt;&gt;"",CSV!$T23,"")</f>
        <v/>
      </c>
      <c r="F23">
        <f>CSV!$U23</f>
        <v>2380</v>
      </c>
      <c r="G23">
        <f>CSV!$V23</f>
        <v>1</v>
      </c>
      <c r="H23">
        <f>CSV!$W23</f>
        <v>2380</v>
      </c>
    </row>
    <row r="24" spans="1:8">
      <c r="A24" s="9" t="str">
        <f>CSV!$A24</f>
        <v>F194D5B468F78572</v>
      </c>
      <c r="B24">
        <f>COUNTIF(CSV!$A$2:'CSV'!A24,CSV!A24)</f>
        <v>2</v>
      </c>
      <c r="C24" t="str">
        <f t="shared" ref="C24:C53" si="1">A24 &amp; "-" &amp; B24</f>
        <v>F194D5B468F78572-2</v>
      </c>
      <c r="D24" t="str">
        <f>CSV!$S24</f>
        <v>The Modern Honolulu</v>
      </c>
      <c r="E24" s="5" t="str">
        <f>IF(CSV!$T24&lt;&gt;"",CSV!$T24,"")</f>
        <v/>
      </c>
      <c r="F24">
        <f>CSV!$U24</f>
        <v>2380</v>
      </c>
      <c r="G24">
        <f>CSV!$V24</f>
        <v>1</v>
      </c>
      <c r="H24">
        <f>CSV!$W24</f>
        <v>2380</v>
      </c>
    </row>
    <row r="25" spans="1:8">
      <c r="A25" s="9" t="str">
        <f>CSV!$A25</f>
        <v>2AA708D415FA7043</v>
      </c>
      <c r="B25">
        <f>COUNTIF(CSV!$A$2:'CSV'!A25,CSV!A25)</f>
        <v>1</v>
      </c>
      <c r="C25" t="str">
        <f t="shared" si="1"/>
        <v>2AA708D415FA7043-1</v>
      </c>
      <c r="D25" t="str">
        <f>CSV!$S25</f>
        <v>Japanese Festival</v>
      </c>
      <c r="E25" s="5" t="str">
        <f>IF(CSV!$T25&lt;&gt;"",CSV!$T25,"")</f>
        <v/>
      </c>
      <c r="F25">
        <f>CSV!$U25</f>
        <v>2380</v>
      </c>
      <c r="G25">
        <f>CSV!$V25</f>
        <v>1</v>
      </c>
      <c r="H25">
        <f>CSV!$W25</f>
        <v>2380</v>
      </c>
    </row>
    <row r="26" spans="1:8">
      <c r="A26" s="9" t="str">
        <f>CSV!$A26</f>
        <v>4DCA29AFD35492F7</v>
      </c>
      <c r="B26">
        <f>COUNTIF(CSV!$A$2:'CSV'!A26,CSV!A26)</f>
        <v>1</v>
      </c>
      <c r="C26" t="str">
        <f t="shared" si="1"/>
        <v>4DCA29AFD35492F7-1</v>
      </c>
      <c r="D26" t="str">
        <f>CSV!$S26</f>
        <v>ShopCard.me - iPhoneケース</v>
      </c>
      <c r="E26" s="5" t="str">
        <f>IF(CSV!$T26&lt;&gt;"",CSV!$T26,"")</f>
        <v/>
      </c>
      <c r="F26">
        <f>CSV!$U26</f>
        <v>1850</v>
      </c>
      <c r="G26">
        <f>CSV!$V26</f>
        <v>1</v>
      </c>
      <c r="H26">
        <f>CSV!$W26</f>
        <v>1850</v>
      </c>
    </row>
    <row r="27" spans="1:8">
      <c r="A27" s="9" t="str">
        <f>CSV!$A27</f>
        <v>1F49E388FCA97A95</v>
      </c>
      <c r="B27">
        <f>COUNTIF(CSV!$A$2:'CSV'!A27,CSV!A27)</f>
        <v>2</v>
      </c>
      <c r="C27" t="str">
        <f t="shared" si="1"/>
        <v>1F49E388FCA97A95-2</v>
      </c>
      <c r="D27" t="str">
        <f>CSV!$S27</f>
        <v>Sunset of Honolulu Beach</v>
      </c>
      <c r="E27" s="5" t="str">
        <f>IF(CSV!$T27&lt;&gt;"",CSV!$T27,"")</f>
        <v/>
      </c>
      <c r="F27">
        <f>CSV!$U27</f>
        <v>2380</v>
      </c>
      <c r="G27">
        <f>CSV!$V27</f>
        <v>1</v>
      </c>
      <c r="H27">
        <f>CSV!$W27</f>
        <v>2380</v>
      </c>
    </row>
    <row r="28" spans="1:8">
      <c r="A28" s="9" t="str">
        <f>CSV!$A28</f>
        <v>515E3C014C0A0D23</v>
      </c>
      <c r="B28">
        <f>COUNTIF(CSV!$A$2:'CSV'!A28,CSV!A28)</f>
        <v>2</v>
      </c>
      <c r="C28" t="str">
        <f t="shared" si="1"/>
        <v>515E3C014C0A0D23-2</v>
      </c>
      <c r="D28" t="str">
        <f>CSV!$S28</f>
        <v>reserve</v>
      </c>
      <c r="E28" s="5" t="str">
        <f>IF(CSV!$T28&lt;&gt;"",CSV!$T28,"")</f>
        <v>サイズA</v>
      </c>
      <c r="F28">
        <f>CSV!$U28</f>
        <v>100</v>
      </c>
      <c r="G28">
        <f>CSV!$V28</f>
        <v>1</v>
      </c>
      <c r="H28">
        <f>CSV!$W28</f>
        <v>100</v>
      </c>
    </row>
    <row r="29" spans="1:8">
      <c r="A29" s="9" t="str">
        <f>CSV!$A29</f>
        <v>00CE7C7588D8F5C2</v>
      </c>
      <c r="B29">
        <f>COUNTIF(CSV!$A$2:'CSV'!A29,CSV!A29)</f>
        <v>2</v>
      </c>
      <c r="C29" t="str">
        <f t="shared" si="1"/>
        <v>00CE7C7588D8F5C2-2</v>
      </c>
      <c r="D29" t="str">
        <f>CSV!$S29</f>
        <v>リンツショコラ・カフェ　渋谷 reserve</v>
      </c>
      <c r="E29" s="5" t="str">
        <f>IF(CSV!$T29&lt;&gt;"",CSV!$T29,"")</f>
        <v/>
      </c>
      <c r="F29">
        <f>CSV!$U29</f>
        <v>100</v>
      </c>
      <c r="G29">
        <f>CSV!$V29</f>
        <v>1</v>
      </c>
      <c r="H29">
        <f>CSV!$W29</f>
        <v>100</v>
      </c>
    </row>
    <row r="30" spans="1:8">
      <c r="A30" s="9" t="str">
        <f>CSV!$A30</f>
        <v>9B6C71A3B1C1C2E3</v>
      </c>
      <c r="B30">
        <f>COUNTIF(CSV!$A$2:'CSV'!A30,CSV!A30)</f>
        <v>2</v>
      </c>
      <c r="C30" t="str">
        <f t="shared" si="1"/>
        <v>9B6C71A3B1C1C2E3-2</v>
      </c>
      <c r="D30" t="str">
        <f>CSV!$S30</f>
        <v>The Modern Honolulu</v>
      </c>
      <c r="E30" s="5" t="str">
        <f>IF(CSV!$T30&lt;&gt;"",CSV!$T30,"")</f>
        <v/>
      </c>
      <c r="F30">
        <f>CSV!$U30</f>
        <v>2380</v>
      </c>
      <c r="G30">
        <f>CSV!$V30</f>
        <v>1</v>
      </c>
      <c r="H30">
        <f>CSV!$W30</f>
        <v>2380</v>
      </c>
    </row>
    <row r="31" spans="1:8">
      <c r="A31" s="9" t="str">
        <f>CSV!$A31</f>
        <v>C3C146FE4CD2D8D8</v>
      </c>
      <c r="B31">
        <f>COUNTIF(CSV!$A$2:'CSV'!A31,CSV!A31)</f>
        <v>3</v>
      </c>
      <c r="C31" t="str">
        <f t="shared" si="1"/>
        <v>C3C146FE4CD2D8D8-3</v>
      </c>
      <c r="D31" t="str">
        <f>CSV!$S31</f>
        <v>マイルドヤンキーケース</v>
      </c>
      <c r="E31" s="5" t="str">
        <f>IF(CSV!$T31&lt;&gt;"",CSV!$T31,"")</f>
        <v/>
      </c>
      <c r="F31">
        <f>CSV!$U31</f>
        <v>2380</v>
      </c>
      <c r="G31">
        <f>CSV!$V31</f>
        <v>1</v>
      </c>
      <c r="H31">
        <f>CSV!$W31</f>
        <v>2380</v>
      </c>
    </row>
    <row r="32" spans="1:8">
      <c r="A32" s="9" t="str">
        <f>CSV!$A32</f>
        <v>C3C146FE4CD2D8D8</v>
      </c>
      <c r="B32">
        <f>COUNTIF(CSV!$A$2:'CSV'!A32,CSV!A32)</f>
        <v>4</v>
      </c>
      <c r="C32" t="str">
        <f t="shared" si="1"/>
        <v>C3C146FE4CD2D8D8-4</v>
      </c>
      <c r="D32" t="str">
        <f>CSV!$S32</f>
        <v>The Modern Honolulu</v>
      </c>
      <c r="E32" s="5" t="str">
        <f>IF(CSV!$T32&lt;&gt;"",CSV!$T32,"")</f>
        <v/>
      </c>
      <c r="F32">
        <f>CSV!$U32</f>
        <v>2380</v>
      </c>
      <c r="G32">
        <f>CSV!$V32</f>
        <v>1</v>
      </c>
      <c r="H32">
        <f>CSV!$W32</f>
        <v>2380</v>
      </c>
    </row>
    <row r="33" spans="1:8">
      <c r="A33" s="9" t="str">
        <f>CSV!$A33</f>
        <v>E483133970132B96</v>
      </c>
      <c r="B33">
        <f>COUNTIF(CSV!$A$2:'CSV'!A33,CSV!A33)</f>
        <v>2</v>
      </c>
      <c r="C33" t="str">
        <f t="shared" si="1"/>
        <v>E483133970132B96-2</v>
      </c>
      <c r="D33" t="str">
        <f>CSV!$S33</f>
        <v>Sunset of Honolulu Beach</v>
      </c>
      <c r="E33" s="5" t="str">
        <f>IF(CSV!$T33&lt;&gt;"",CSV!$T33,"")</f>
        <v/>
      </c>
      <c r="F33">
        <f>CSV!$U33</f>
        <v>2380</v>
      </c>
      <c r="G33">
        <f>CSV!$V33</f>
        <v>2</v>
      </c>
      <c r="H33">
        <f>CSV!$W33</f>
        <v>4760</v>
      </c>
    </row>
    <row r="34" spans="1:8">
      <c r="A34" s="9" t="str">
        <f>CSV!$A34</f>
        <v>F01F147D0F3447BE</v>
      </c>
      <c r="B34">
        <f>COUNTIF(CSV!$A$2:'CSV'!A34,CSV!A34)</f>
        <v>2</v>
      </c>
      <c r="C34" t="str">
        <f t="shared" si="1"/>
        <v>F01F147D0F3447BE-2</v>
      </c>
      <c r="D34" t="str">
        <f>CSV!$S34</f>
        <v>Sunset of Honolulu Beach</v>
      </c>
      <c r="E34" s="5" t="str">
        <f>IF(CSV!$T34&lt;&gt;"",CSV!$T34,"")</f>
        <v/>
      </c>
      <c r="F34">
        <f>CSV!$U34</f>
        <v>2380</v>
      </c>
      <c r="G34">
        <f>CSV!$V34</f>
        <v>3</v>
      </c>
      <c r="H34">
        <f>CSV!$W34</f>
        <v>7140</v>
      </c>
    </row>
    <row r="35" spans="1:8">
      <c r="A35" s="9" t="str">
        <f>CSV!$A35</f>
        <v>6D6CA2DF8112B6E6</v>
      </c>
      <c r="B35">
        <f>COUNTIF(CSV!$A$2:'CSV'!A35,CSV!A35)</f>
        <v>2</v>
      </c>
      <c r="C35" t="str">
        <f t="shared" si="1"/>
        <v>6D6CA2DF8112B6E6-2</v>
      </c>
      <c r="D35" t="str">
        <f>CSV!$S35</f>
        <v>Sunset of Honolulu Beach</v>
      </c>
      <c r="E35" s="5" t="str">
        <f>IF(CSV!$T35&lt;&gt;"",CSV!$T35,"")</f>
        <v/>
      </c>
      <c r="F35">
        <f>CSV!$U35</f>
        <v>2380</v>
      </c>
      <c r="G35">
        <f>CSV!$V35</f>
        <v>2</v>
      </c>
      <c r="H35">
        <f>CSV!$W35</f>
        <v>4760</v>
      </c>
    </row>
    <row r="36" spans="1:8">
      <c r="A36" s="9" t="str">
        <f>CSV!$A36</f>
        <v>1C5218267981E345</v>
      </c>
      <c r="B36">
        <f>COUNTIF(CSV!$A$2:'CSV'!A36,CSV!A36)</f>
        <v>2</v>
      </c>
      <c r="C36" t="str">
        <f t="shared" si="1"/>
        <v>1C5218267981E345-2</v>
      </c>
      <c r="D36" t="str">
        <f>CSV!$S36</f>
        <v>Sunset of Honolulu Beach</v>
      </c>
      <c r="E36" s="5" t="str">
        <f>IF(CSV!$T36&lt;&gt;"",CSV!$T36,"")</f>
        <v/>
      </c>
      <c r="F36">
        <f>CSV!$U36</f>
        <v>2380</v>
      </c>
      <c r="G36">
        <f>CSV!$V36</f>
        <v>1</v>
      </c>
      <c r="H36">
        <f>CSV!$W36</f>
        <v>2380</v>
      </c>
    </row>
    <row r="37" spans="1:8">
      <c r="A37" s="9" t="str">
        <f>CSV!$A37</f>
        <v>93991EC6E33140D0</v>
      </c>
      <c r="B37">
        <f>COUNTIF(CSV!$A$2:'CSV'!A37,CSV!A37)</f>
        <v>2</v>
      </c>
      <c r="C37" t="str">
        <f t="shared" si="1"/>
        <v>93991EC6E33140D0-2</v>
      </c>
      <c r="D37" t="str">
        <f>CSV!$S37</f>
        <v>Sunset of Honolulu Beach</v>
      </c>
      <c r="E37" s="5" t="str">
        <f>IF(CSV!$T37&lt;&gt;"",CSV!$T37,"")</f>
        <v/>
      </c>
      <c r="F37">
        <f>CSV!$U37</f>
        <v>2380</v>
      </c>
      <c r="G37">
        <f>CSV!$V37</f>
        <v>1</v>
      </c>
      <c r="H37">
        <f>CSV!$W37</f>
        <v>2380</v>
      </c>
    </row>
    <row r="38" spans="1:8">
      <c r="A38" s="9" t="str">
        <f>CSV!$A38</f>
        <v>EB2CED3D0E1A7607</v>
      </c>
      <c r="B38">
        <f>COUNTIF(CSV!$A$2:'CSV'!A38,CSV!A38)</f>
        <v>3</v>
      </c>
      <c r="C38" t="str">
        <f t="shared" si="1"/>
        <v>EB2CED3D0E1A7607-3</v>
      </c>
      <c r="D38" t="str">
        <f>CSV!$S38</f>
        <v>China town in Japan</v>
      </c>
      <c r="E38" s="5" t="str">
        <f>IF(CSV!$T38&lt;&gt;"",CSV!$T38,"")</f>
        <v/>
      </c>
      <c r="F38">
        <f>CSV!$U38</f>
        <v>2380</v>
      </c>
      <c r="G38">
        <f>CSV!$V38</f>
        <v>1</v>
      </c>
      <c r="H38">
        <f>CSV!$W38</f>
        <v>2380</v>
      </c>
    </row>
    <row r="39" spans="1:8">
      <c r="A39" s="9" t="str">
        <f>CSV!$A39</f>
        <v>EB2CED3D0E1A7607</v>
      </c>
      <c r="B39">
        <f>COUNTIF(CSV!$A$2:'CSV'!A39,CSV!A39)</f>
        <v>4</v>
      </c>
      <c r="C39" t="str">
        <f t="shared" si="1"/>
        <v>EB2CED3D0E1A7607-4</v>
      </c>
      <c r="D39" t="str">
        <f>CSV!$S39</f>
        <v>Route 66</v>
      </c>
      <c r="E39" s="5" t="str">
        <f>IF(CSV!$T39&lt;&gt;"",CSV!$T39,"")</f>
        <v/>
      </c>
      <c r="F39">
        <f>CSV!$U39</f>
        <v>2380</v>
      </c>
      <c r="G39">
        <f>CSV!$V39</f>
        <v>1</v>
      </c>
      <c r="H39">
        <f>CSV!$W39</f>
        <v>2380</v>
      </c>
    </row>
    <row r="40" spans="1:8">
      <c r="A40" s="9" t="str">
        <f>CSV!$A40</f>
        <v>67CDE974345FA606</v>
      </c>
      <c r="B40">
        <f>COUNTIF(CSV!$A$2:'CSV'!A40,CSV!A40)</f>
        <v>3</v>
      </c>
      <c r="C40" t="str">
        <f t="shared" si="1"/>
        <v>67CDE974345FA606-3</v>
      </c>
      <c r="D40" t="str">
        <f>CSV!$S40</f>
        <v>Route 66</v>
      </c>
      <c r="E40" s="5" t="str">
        <f>IF(CSV!$T40&lt;&gt;"",CSV!$T40,"")</f>
        <v/>
      </c>
      <c r="F40">
        <f>CSV!$U40</f>
        <v>2380</v>
      </c>
      <c r="G40">
        <f>CSV!$V40</f>
        <v>1</v>
      </c>
      <c r="H40">
        <f>CSV!$W40</f>
        <v>2380</v>
      </c>
    </row>
    <row r="41" spans="1:8">
      <c r="A41" s="9" t="str">
        <f>CSV!$A41</f>
        <v>67CDE974345FA606</v>
      </c>
      <c r="B41">
        <f>COUNTIF(CSV!$A$2:'CSV'!A41,CSV!A41)</f>
        <v>4</v>
      </c>
      <c r="C41" t="str">
        <f t="shared" si="1"/>
        <v>67CDE974345FA606-4</v>
      </c>
      <c r="D41" t="str">
        <f>CSV!$S41</f>
        <v>China town in Japan</v>
      </c>
      <c r="E41" s="5" t="str">
        <f>IF(CSV!$T41&lt;&gt;"",CSV!$T41,"")</f>
        <v/>
      </c>
      <c r="F41">
        <f>CSV!$U41</f>
        <v>2380</v>
      </c>
      <c r="G41">
        <f>CSV!$V41</f>
        <v>1</v>
      </c>
      <c r="H41">
        <f>CSV!$W41</f>
        <v>2380</v>
      </c>
    </row>
    <row r="42" spans="1:8">
      <c r="A42" s="9" t="str">
        <f>CSV!$A42</f>
        <v>5E1AEA5E021DDB21</v>
      </c>
      <c r="B42">
        <f>COUNTIF(CSV!$A$2:'CSV'!A42,CSV!A42)</f>
        <v>3</v>
      </c>
      <c r="C42" t="str">
        <f t="shared" si="1"/>
        <v>5E1AEA5E021DDB21-3</v>
      </c>
      <c r="D42" t="str">
        <f>CSV!$S42</f>
        <v>Route 66</v>
      </c>
      <c r="E42" s="5" t="str">
        <f>IF(CSV!$T42&lt;&gt;"",CSV!$T42,"")</f>
        <v/>
      </c>
      <c r="F42">
        <f>CSV!$U42</f>
        <v>2380</v>
      </c>
      <c r="G42">
        <f>CSV!$V42</f>
        <v>1</v>
      </c>
      <c r="H42">
        <f>CSV!$W42</f>
        <v>2380</v>
      </c>
    </row>
    <row r="43" spans="1:8">
      <c r="A43" s="9" t="str">
        <f>CSV!$A43</f>
        <v>5E1AEA5E021DDB21</v>
      </c>
      <c r="B43">
        <f>COUNTIF(CSV!$A$2:'CSV'!A43,CSV!A43)</f>
        <v>4</v>
      </c>
      <c r="C43" t="str">
        <f t="shared" si="1"/>
        <v>5E1AEA5E021DDB21-4</v>
      </c>
      <c r="D43" t="str">
        <f>CSV!$S43</f>
        <v>マイルドヤンキーケース</v>
      </c>
      <c r="E43" s="5" t="str">
        <f>IF(CSV!$T43&lt;&gt;"",CSV!$T43,"")</f>
        <v/>
      </c>
      <c r="F43">
        <f>CSV!$U43</f>
        <v>2380</v>
      </c>
      <c r="G43">
        <f>CSV!$V43</f>
        <v>1</v>
      </c>
      <c r="H43">
        <f>CSV!$W43</f>
        <v>2380</v>
      </c>
    </row>
    <row r="44" spans="1:8">
      <c r="A44" s="9" t="str">
        <f>CSV!$A44</f>
        <v>054D0D6A07404873</v>
      </c>
      <c r="B44">
        <f>COUNTIF(CSV!$A$2:'CSV'!A44,CSV!A44)</f>
        <v>3</v>
      </c>
      <c r="C44" t="str">
        <f t="shared" si="1"/>
        <v>054D0D6A07404873-3</v>
      </c>
      <c r="D44" t="str">
        <f>CSV!$S44</f>
        <v>The Modern Honolulu</v>
      </c>
      <c r="E44" s="5" t="str">
        <f>IF(CSV!$T44&lt;&gt;"",CSV!$T44,"")</f>
        <v/>
      </c>
      <c r="F44">
        <f>CSV!$U44</f>
        <v>2380</v>
      </c>
      <c r="G44">
        <f>CSV!$V44</f>
        <v>1</v>
      </c>
      <c r="H44">
        <f>CSV!$W44</f>
        <v>2380</v>
      </c>
    </row>
    <row r="45" spans="1:8">
      <c r="A45" s="9" t="str">
        <f>CSV!$A45</f>
        <v>054D0D6A07404873</v>
      </c>
      <c r="B45">
        <f>COUNTIF(CSV!$A$2:'CSV'!A45,CSV!A45)</f>
        <v>4</v>
      </c>
      <c r="C45" t="str">
        <f t="shared" si="1"/>
        <v>054D0D6A07404873-4</v>
      </c>
      <c r="D45" t="str">
        <f>CSV!$S45</f>
        <v>Route 66</v>
      </c>
      <c r="E45" s="5" t="str">
        <f>IF(CSV!$T45&lt;&gt;"",CSV!$T45,"")</f>
        <v/>
      </c>
      <c r="F45">
        <f>CSV!$U45</f>
        <v>2380</v>
      </c>
      <c r="G45">
        <f>CSV!$V45</f>
        <v>1</v>
      </c>
      <c r="H45">
        <f>CSV!$W45</f>
        <v>2380</v>
      </c>
    </row>
    <row r="46" spans="1:8">
      <c r="A46" s="9" t="str">
        <f>CSV!$A46</f>
        <v>510992F53B0A7B40</v>
      </c>
      <c r="B46">
        <f>COUNTIF(CSV!$A$2:'CSV'!A46,CSV!A46)</f>
        <v>3</v>
      </c>
      <c r="C46" t="str">
        <f t="shared" si="1"/>
        <v>510992F53B0A7B40-3</v>
      </c>
      <c r="D46" t="str">
        <f>CSV!$S46</f>
        <v>Route 66</v>
      </c>
      <c r="E46" s="5" t="str">
        <f>IF(CSV!$T46&lt;&gt;"",CSV!$T46,"")</f>
        <v/>
      </c>
      <c r="F46">
        <f>CSV!$U46</f>
        <v>2380</v>
      </c>
      <c r="G46">
        <f>CSV!$V46</f>
        <v>1</v>
      </c>
      <c r="H46">
        <f>CSV!$W46</f>
        <v>2380</v>
      </c>
    </row>
    <row r="47" spans="1:8">
      <c r="A47" s="9" t="str">
        <f>CSV!$A47</f>
        <v>510992F53B0A7B40</v>
      </c>
      <c r="B47">
        <f>COUNTIF(CSV!$A$2:'CSV'!A47,CSV!A47)</f>
        <v>4</v>
      </c>
      <c r="C47" t="str">
        <f t="shared" si="1"/>
        <v>510992F53B0A7B40-4</v>
      </c>
      <c r="D47" t="str">
        <f>CSV!$S47</f>
        <v>The Modern Honolulu</v>
      </c>
      <c r="E47" s="5" t="str">
        <f>IF(CSV!$T47&lt;&gt;"",CSV!$T47,"")</f>
        <v/>
      </c>
      <c r="F47">
        <f>CSV!$U47</f>
        <v>2380</v>
      </c>
      <c r="G47">
        <f>CSV!$V47</f>
        <v>1</v>
      </c>
      <c r="H47">
        <f>CSV!$W47</f>
        <v>2380</v>
      </c>
    </row>
    <row r="48" spans="1:8">
      <c r="A48" s="9" t="str">
        <f>CSV!$A48</f>
        <v>F194D5B468F78572</v>
      </c>
      <c r="B48">
        <f>COUNTIF(CSV!$A$2:'CSV'!A48,CSV!A48)</f>
        <v>3</v>
      </c>
      <c r="C48" t="str">
        <f t="shared" si="1"/>
        <v>F194D5B468F78572-3</v>
      </c>
      <c r="D48" t="str">
        <f>CSV!$S48</f>
        <v>Route 66</v>
      </c>
      <c r="E48" s="5" t="str">
        <f>IF(CSV!$T48&lt;&gt;"",CSV!$T48,"")</f>
        <v/>
      </c>
      <c r="F48">
        <f>CSV!$U48</f>
        <v>2380</v>
      </c>
      <c r="G48">
        <f>CSV!$V48</f>
        <v>1</v>
      </c>
      <c r="H48">
        <f>CSV!$W48</f>
        <v>2380</v>
      </c>
    </row>
    <row r="49" spans="1:8">
      <c r="A49" s="9" t="str">
        <f>CSV!$A49</f>
        <v>F194D5B468F78572</v>
      </c>
      <c r="B49">
        <f>COUNTIF(CSV!$A$2:'CSV'!A49,CSV!A49)</f>
        <v>4</v>
      </c>
      <c r="C49" t="str">
        <f t="shared" si="1"/>
        <v>F194D5B468F78572-4</v>
      </c>
      <c r="D49" t="str">
        <f>CSV!$S49</f>
        <v>The Modern Honolulu</v>
      </c>
      <c r="E49" s="5" t="str">
        <f>IF(CSV!$T49&lt;&gt;"",CSV!$T49,"")</f>
        <v/>
      </c>
      <c r="F49">
        <f>CSV!$U49</f>
        <v>2380</v>
      </c>
      <c r="G49">
        <f>CSV!$V49</f>
        <v>1</v>
      </c>
      <c r="H49">
        <f>CSV!$W49</f>
        <v>2380</v>
      </c>
    </row>
    <row r="50" spans="1:8">
      <c r="A50" s="9" t="str">
        <f>CSV!$A50</f>
        <v>2AA708D415FA7043</v>
      </c>
      <c r="B50">
        <f>COUNTIF(CSV!$A$2:'CSV'!A50,CSV!A50)</f>
        <v>2</v>
      </c>
      <c r="C50" t="str">
        <f t="shared" si="1"/>
        <v>2AA708D415FA7043-2</v>
      </c>
      <c r="D50" t="str">
        <f>CSV!$S50</f>
        <v>Japanese Festival</v>
      </c>
      <c r="E50" s="5" t="str">
        <f>IF(CSV!$T50&lt;&gt;"",CSV!$T50,"")</f>
        <v/>
      </c>
      <c r="F50">
        <f>CSV!$U50</f>
        <v>2380</v>
      </c>
      <c r="G50">
        <f>CSV!$V50</f>
        <v>1</v>
      </c>
      <c r="H50">
        <f>CSV!$W50</f>
        <v>2380</v>
      </c>
    </row>
    <row r="51" spans="1:8">
      <c r="A51" s="9" t="str">
        <f>CSV!$A51</f>
        <v>4DCA29AFD35492F7</v>
      </c>
      <c r="B51">
        <f>COUNTIF(CSV!$A$2:'CSV'!A51,CSV!A51)</f>
        <v>2</v>
      </c>
      <c r="C51" t="str">
        <f t="shared" si="1"/>
        <v>4DCA29AFD35492F7-2</v>
      </c>
      <c r="D51" t="str">
        <f>CSV!$S51</f>
        <v>ShopCard.me - iPhoneケース</v>
      </c>
      <c r="E51" s="5" t="str">
        <f>IF(CSV!$T51&lt;&gt;"",CSV!$T51,"")</f>
        <v/>
      </c>
      <c r="F51">
        <f>CSV!$U51</f>
        <v>1850</v>
      </c>
      <c r="G51">
        <f>CSV!$V51</f>
        <v>1</v>
      </c>
      <c r="H51">
        <f>CSV!$W51</f>
        <v>1850</v>
      </c>
    </row>
    <row r="52" spans="1:8">
      <c r="A52" s="9" t="str">
        <f>CSV!$A52</f>
        <v>1F49E388FCA97A95</v>
      </c>
      <c r="B52">
        <f>COUNTIF(CSV!$A$2:'CSV'!A52,CSV!A52)</f>
        <v>3</v>
      </c>
      <c r="C52" t="str">
        <f t="shared" si="1"/>
        <v>1F49E388FCA97A95-3</v>
      </c>
      <c r="D52" t="str">
        <f>CSV!$S52</f>
        <v>Sunset of Honolulu Beach</v>
      </c>
      <c r="E52" s="5" t="str">
        <f>IF(CSV!$T52&lt;&gt;"",CSV!$T52,"")</f>
        <v/>
      </c>
      <c r="F52">
        <f>CSV!$U52</f>
        <v>2380</v>
      </c>
      <c r="G52">
        <f>CSV!$V52</f>
        <v>1</v>
      </c>
      <c r="H52">
        <f>CSV!$W52</f>
        <v>2380</v>
      </c>
    </row>
    <row r="53" spans="1:8">
      <c r="A53" s="9" t="str">
        <f>CSV!$A53</f>
        <v>515E3C014C0A0D23</v>
      </c>
      <c r="B53">
        <f>COUNTIF(CSV!$A$2:'CSV'!A53,CSV!A53)</f>
        <v>3</v>
      </c>
      <c r="C53" t="str">
        <f t="shared" si="1"/>
        <v>515E3C014C0A0D23-3</v>
      </c>
      <c r="D53" t="str">
        <f>CSV!$S53</f>
        <v>reserve</v>
      </c>
      <c r="E53" s="5" t="str">
        <f>IF(CSV!$T53&lt;&gt;"",CSV!$T53,"")</f>
        <v>サイズA</v>
      </c>
      <c r="F53">
        <f>CSV!$U53</f>
        <v>100</v>
      </c>
      <c r="G53">
        <f>CSV!$V53</f>
        <v>1</v>
      </c>
      <c r="H53">
        <f>CSV!$W53</f>
        <v>100</v>
      </c>
    </row>
    <row r="54" spans="1:8">
      <c r="A54" s="9" t="str">
        <f>CSV!$A54</f>
        <v>00CE7C7588D8F5C2</v>
      </c>
      <c r="B54">
        <f>COUNTIF(CSV!$A$2:'CSV'!A54,CSV!A54)</f>
        <v>3</v>
      </c>
      <c r="C54" t="str">
        <f t="shared" ref="C54:C117" si="2">A54 &amp; "-" &amp; B54</f>
        <v>00CE7C7588D8F5C2-3</v>
      </c>
      <c r="D54" t="str">
        <f>CSV!$S54</f>
        <v>リンツショコラ・カフェ　渋谷 reserve</v>
      </c>
      <c r="E54" s="5" t="str">
        <f>IF(CSV!$T54&lt;&gt;"",CSV!$T54,"")</f>
        <v/>
      </c>
      <c r="F54">
        <f>CSV!$U54</f>
        <v>100</v>
      </c>
      <c r="G54">
        <f>CSV!$V54</f>
        <v>1</v>
      </c>
      <c r="H54">
        <f>CSV!$W54</f>
        <v>100</v>
      </c>
    </row>
    <row r="55" spans="1:8">
      <c r="A55" s="9" t="str">
        <f>CSV!$A55</f>
        <v>9B6C71A3B1C1C2E3</v>
      </c>
      <c r="B55">
        <f>COUNTIF(CSV!$A$2:'CSV'!A55,CSV!A55)</f>
        <v>3</v>
      </c>
      <c r="C55" t="str">
        <f t="shared" si="2"/>
        <v>9B6C71A3B1C1C2E3-3</v>
      </c>
      <c r="D55" t="str">
        <f>CSV!$S55</f>
        <v>The Modern Honolulu</v>
      </c>
      <c r="E55" s="5" t="str">
        <f>IF(CSV!$T55&lt;&gt;"",CSV!$T55,"")</f>
        <v/>
      </c>
      <c r="F55">
        <f>CSV!$U55</f>
        <v>2380</v>
      </c>
      <c r="G55">
        <f>CSV!$V55</f>
        <v>1</v>
      </c>
      <c r="H55">
        <f>CSV!$W55</f>
        <v>2380</v>
      </c>
    </row>
    <row r="56" spans="1:8">
      <c r="A56" s="9" t="str">
        <f>CSV!$A56</f>
        <v>C3C146FE4CD2D8D8</v>
      </c>
      <c r="B56">
        <f>COUNTIF(CSV!$A$2:'CSV'!A56,CSV!A56)</f>
        <v>5</v>
      </c>
      <c r="C56" t="str">
        <f t="shared" si="2"/>
        <v>C3C146FE4CD2D8D8-5</v>
      </c>
      <c r="D56" t="str">
        <f>CSV!$S56</f>
        <v>マイルドヤンキーケース</v>
      </c>
      <c r="E56" s="5" t="str">
        <f>IF(CSV!$T56&lt;&gt;"",CSV!$T56,"")</f>
        <v/>
      </c>
      <c r="F56">
        <f>CSV!$U56</f>
        <v>2380</v>
      </c>
      <c r="G56">
        <f>CSV!$V56</f>
        <v>1</v>
      </c>
      <c r="H56">
        <f>CSV!$W56</f>
        <v>2380</v>
      </c>
    </row>
    <row r="57" spans="1:8">
      <c r="A57" s="9" t="str">
        <f>CSV!$A57</f>
        <v>C3C146FE4CD2D8D8</v>
      </c>
      <c r="B57">
        <f>COUNTIF(CSV!$A$2:'CSV'!A57,CSV!A57)</f>
        <v>6</v>
      </c>
      <c r="C57" t="str">
        <f t="shared" si="2"/>
        <v>C3C146FE4CD2D8D8-6</v>
      </c>
      <c r="D57" t="str">
        <f>CSV!$S57</f>
        <v>The Modern Honolulu</v>
      </c>
      <c r="E57" s="5" t="str">
        <f>IF(CSV!$T57&lt;&gt;"",CSV!$T57,"")</f>
        <v/>
      </c>
      <c r="F57">
        <f>CSV!$U57</f>
        <v>2380</v>
      </c>
      <c r="G57">
        <f>CSV!$V57</f>
        <v>1</v>
      </c>
      <c r="H57">
        <f>CSV!$W57</f>
        <v>2380</v>
      </c>
    </row>
    <row r="58" spans="1:8">
      <c r="A58" s="9" t="str">
        <f>CSV!$A58</f>
        <v>E483133970132B96</v>
      </c>
      <c r="B58">
        <f>COUNTIF(CSV!$A$2:'CSV'!A58,CSV!A58)</f>
        <v>3</v>
      </c>
      <c r="C58" t="str">
        <f t="shared" si="2"/>
        <v>E483133970132B96-3</v>
      </c>
      <c r="D58" t="str">
        <f>CSV!$S58</f>
        <v>Sunset of Honolulu Beach</v>
      </c>
      <c r="E58" s="5" t="str">
        <f>IF(CSV!$T58&lt;&gt;"",CSV!$T58,"")</f>
        <v/>
      </c>
      <c r="F58">
        <f>CSV!$U58</f>
        <v>2380</v>
      </c>
      <c r="G58">
        <f>CSV!$V58</f>
        <v>2</v>
      </c>
      <c r="H58">
        <f>CSV!$W58</f>
        <v>4760</v>
      </c>
    </row>
    <row r="59" spans="1:8">
      <c r="A59" s="9" t="str">
        <f>CSV!$A59</f>
        <v>F01F147D0F3447BE</v>
      </c>
      <c r="B59">
        <f>COUNTIF(CSV!$A$2:'CSV'!A59,CSV!A59)</f>
        <v>3</v>
      </c>
      <c r="C59" t="str">
        <f t="shared" si="2"/>
        <v>F01F147D0F3447BE-3</v>
      </c>
      <c r="D59" t="str">
        <f>CSV!$S59</f>
        <v>Sunset of Honolulu Beach</v>
      </c>
      <c r="E59" s="5" t="str">
        <f>IF(CSV!$T59&lt;&gt;"",CSV!$T59,"")</f>
        <v/>
      </c>
      <c r="F59">
        <f>CSV!$U59</f>
        <v>2380</v>
      </c>
      <c r="G59">
        <f>CSV!$V59</f>
        <v>3</v>
      </c>
      <c r="H59">
        <f>CSV!$W59</f>
        <v>7140</v>
      </c>
    </row>
    <row r="60" spans="1:8">
      <c r="A60" s="9" t="str">
        <f>CSV!$A60</f>
        <v>6D6CA2DF8112B6E6</v>
      </c>
      <c r="B60">
        <f>COUNTIF(CSV!$A$2:'CSV'!A60,CSV!A60)</f>
        <v>3</v>
      </c>
      <c r="C60" t="str">
        <f t="shared" si="2"/>
        <v>6D6CA2DF8112B6E6-3</v>
      </c>
      <c r="D60" t="str">
        <f>CSV!$S60</f>
        <v>Sunset of Honolulu Beach</v>
      </c>
      <c r="E60" s="5" t="str">
        <f>IF(CSV!$T60&lt;&gt;"",CSV!$T60,"")</f>
        <v/>
      </c>
      <c r="F60">
        <f>CSV!$U60</f>
        <v>2380</v>
      </c>
      <c r="G60">
        <f>CSV!$V60</f>
        <v>2</v>
      </c>
      <c r="H60">
        <f>CSV!$W60</f>
        <v>4760</v>
      </c>
    </row>
    <row r="61" spans="1:8">
      <c r="A61" s="9" t="str">
        <f>CSV!$A61</f>
        <v>1C5218267981E345</v>
      </c>
      <c r="B61">
        <f>COUNTIF(CSV!$A$2:'CSV'!A61,CSV!A61)</f>
        <v>3</v>
      </c>
      <c r="C61" t="str">
        <f t="shared" si="2"/>
        <v>1C5218267981E345-3</v>
      </c>
      <c r="D61" t="str">
        <f>CSV!$S61</f>
        <v>Sunset of Honolulu Beach</v>
      </c>
      <c r="E61" s="5" t="str">
        <f>IF(CSV!$T61&lt;&gt;"",CSV!$T61,"")</f>
        <v/>
      </c>
      <c r="F61">
        <f>CSV!$U61</f>
        <v>2380</v>
      </c>
      <c r="G61">
        <f>CSV!$V61</f>
        <v>1</v>
      </c>
      <c r="H61">
        <f>CSV!$W61</f>
        <v>2380</v>
      </c>
    </row>
    <row r="62" spans="1:8">
      <c r="A62" s="9" t="str">
        <f>CSV!$A62</f>
        <v>93991EC6E33140D0</v>
      </c>
      <c r="B62">
        <f>COUNTIF(CSV!$A$2:'CSV'!A62,CSV!A62)</f>
        <v>3</v>
      </c>
      <c r="C62" t="str">
        <f t="shared" si="2"/>
        <v>93991EC6E33140D0-3</v>
      </c>
      <c r="D62" t="str">
        <f>CSV!$S62</f>
        <v>Sunset of Honolulu Beach</v>
      </c>
      <c r="E62" s="5" t="str">
        <f>IF(CSV!$T62&lt;&gt;"",CSV!$T62,"")</f>
        <v/>
      </c>
      <c r="F62">
        <f>CSV!$U62</f>
        <v>2380</v>
      </c>
      <c r="G62">
        <f>CSV!$V62</f>
        <v>1</v>
      </c>
      <c r="H62">
        <f>CSV!$W62</f>
        <v>2380</v>
      </c>
    </row>
    <row r="63" spans="1:8">
      <c r="A63" s="9" t="str">
        <f>CSV!$A63</f>
        <v>EB2CED3D0E1A7607</v>
      </c>
      <c r="B63">
        <f>COUNTIF(CSV!$A$2:'CSV'!A63,CSV!A63)</f>
        <v>5</v>
      </c>
      <c r="C63" t="str">
        <f t="shared" si="2"/>
        <v>EB2CED3D0E1A7607-5</v>
      </c>
      <c r="D63" t="str">
        <f>CSV!$S63</f>
        <v>China town in Japan</v>
      </c>
      <c r="E63" s="5" t="str">
        <f>IF(CSV!$T63&lt;&gt;"",CSV!$T63,"")</f>
        <v/>
      </c>
      <c r="F63">
        <f>CSV!$U63</f>
        <v>2380</v>
      </c>
      <c r="G63">
        <f>CSV!$V63</f>
        <v>1</v>
      </c>
      <c r="H63">
        <f>CSV!$W63</f>
        <v>2380</v>
      </c>
    </row>
    <row r="64" spans="1:8">
      <c r="A64" s="9" t="str">
        <f>CSV!$A64</f>
        <v>EB2CED3D0E1A7607</v>
      </c>
      <c r="B64">
        <f>COUNTIF(CSV!$A$2:'CSV'!A64,CSV!A64)</f>
        <v>6</v>
      </c>
      <c r="C64" t="str">
        <f t="shared" si="2"/>
        <v>EB2CED3D0E1A7607-6</v>
      </c>
      <c r="D64" t="str">
        <f>CSV!$S64</f>
        <v>Route 66</v>
      </c>
      <c r="E64" s="5" t="str">
        <f>IF(CSV!$T64&lt;&gt;"",CSV!$T64,"")</f>
        <v/>
      </c>
      <c r="F64">
        <f>CSV!$U64</f>
        <v>2380</v>
      </c>
      <c r="G64">
        <f>CSV!$V64</f>
        <v>1</v>
      </c>
      <c r="H64">
        <f>CSV!$W64</f>
        <v>2380</v>
      </c>
    </row>
    <row r="65" spans="1:8">
      <c r="A65" s="9" t="str">
        <f>CSV!$A65</f>
        <v>67CDE974345FA606</v>
      </c>
      <c r="B65">
        <f>COUNTIF(CSV!$A$2:'CSV'!A65,CSV!A65)</f>
        <v>5</v>
      </c>
      <c r="C65" t="str">
        <f t="shared" si="2"/>
        <v>67CDE974345FA606-5</v>
      </c>
      <c r="D65" t="str">
        <f>CSV!$S65</f>
        <v>Route 66</v>
      </c>
      <c r="E65" s="5" t="str">
        <f>IF(CSV!$T65&lt;&gt;"",CSV!$T65,"")</f>
        <v/>
      </c>
      <c r="F65">
        <f>CSV!$U65</f>
        <v>2380</v>
      </c>
      <c r="G65">
        <f>CSV!$V65</f>
        <v>1</v>
      </c>
      <c r="H65">
        <f>CSV!$W65</f>
        <v>2380</v>
      </c>
    </row>
    <row r="66" spans="1:8">
      <c r="A66" s="9" t="str">
        <f>CSV!$A66</f>
        <v>67CDE974345FA606</v>
      </c>
      <c r="B66">
        <f>COUNTIF(CSV!$A$2:'CSV'!A66,CSV!A66)</f>
        <v>6</v>
      </c>
      <c r="C66" t="str">
        <f t="shared" si="2"/>
        <v>67CDE974345FA606-6</v>
      </c>
      <c r="D66" t="str">
        <f>CSV!$S66</f>
        <v>China town in Japan</v>
      </c>
      <c r="E66" s="5" t="str">
        <f>IF(CSV!$T66&lt;&gt;"",CSV!$T66,"")</f>
        <v/>
      </c>
      <c r="F66">
        <f>CSV!$U66</f>
        <v>2380</v>
      </c>
      <c r="G66">
        <f>CSV!$V66</f>
        <v>1</v>
      </c>
      <c r="H66">
        <f>CSV!$W66</f>
        <v>2380</v>
      </c>
    </row>
    <row r="67" spans="1:8">
      <c r="A67" s="9" t="str">
        <f>CSV!$A67</f>
        <v>5E1AEA5E021DDB21</v>
      </c>
      <c r="B67">
        <f>COUNTIF(CSV!$A$2:'CSV'!A67,CSV!A67)</f>
        <v>5</v>
      </c>
      <c r="C67" t="str">
        <f t="shared" si="2"/>
        <v>5E1AEA5E021DDB21-5</v>
      </c>
      <c r="D67" t="str">
        <f>CSV!$S67</f>
        <v>Route 66</v>
      </c>
      <c r="E67" s="5" t="str">
        <f>IF(CSV!$T67&lt;&gt;"",CSV!$T67,"")</f>
        <v/>
      </c>
      <c r="F67">
        <f>CSV!$U67</f>
        <v>2380</v>
      </c>
      <c r="G67">
        <f>CSV!$V67</f>
        <v>1</v>
      </c>
      <c r="H67">
        <f>CSV!$W67</f>
        <v>2380</v>
      </c>
    </row>
    <row r="68" spans="1:8">
      <c r="A68" s="9" t="str">
        <f>CSV!$A68</f>
        <v>5E1AEA5E021DDB21</v>
      </c>
      <c r="B68">
        <f>COUNTIF(CSV!$A$2:'CSV'!A68,CSV!A68)</f>
        <v>6</v>
      </c>
      <c r="C68" t="str">
        <f t="shared" si="2"/>
        <v>5E1AEA5E021DDB21-6</v>
      </c>
      <c r="D68" t="str">
        <f>CSV!$S68</f>
        <v>マイルドヤンキーケース</v>
      </c>
      <c r="E68" s="5" t="str">
        <f>IF(CSV!$T68&lt;&gt;"",CSV!$T68,"")</f>
        <v/>
      </c>
      <c r="F68">
        <f>CSV!$U68</f>
        <v>2380</v>
      </c>
      <c r="G68">
        <f>CSV!$V68</f>
        <v>1</v>
      </c>
      <c r="H68">
        <f>CSV!$W68</f>
        <v>2380</v>
      </c>
    </row>
    <row r="69" spans="1:8">
      <c r="A69" s="9" t="str">
        <f>CSV!$A69</f>
        <v>054D0D6A07404873</v>
      </c>
      <c r="B69">
        <f>COUNTIF(CSV!$A$2:'CSV'!A69,CSV!A69)</f>
        <v>5</v>
      </c>
      <c r="C69" t="str">
        <f t="shared" si="2"/>
        <v>054D0D6A07404873-5</v>
      </c>
      <c r="D69" t="str">
        <f>CSV!$S69</f>
        <v>The Modern Honolulu</v>
      </c>
      <c r="E69" s="5" t="str">
        <f>IF(CSV!$T69&lt;&gt;"",CSV!$T69,"")</f>
        <v/>
      </c>
      <c r="F69">
        <f>CSV!$U69</f>
        <v>2380</v>
      </c>
      <c r="G69">
        <f>CSV!$V69</f>
        <v>1</v>
      </c>
      <c r="H69">
        <f>CSV!$W69</f>
        <v>2380</v>
      </c>
    </row>
    <row r="70" spans="1:8">
      <c r="A70" s="9" t="str">
        <f>CSV!$A70</f>
        <v>054D0D6A07404873</v>
      </c>
      <c r="B70">
        <f>COUNTIF(CSV!$A$2:'CSV'!A70,CSV!A70)</f>
        <v>6</v>
      </c>
      <c r="C70" t="str">
        <f t="shared" si="2"/>
        <v>054D0D6A07404873-6</v>
      </c>
      <c r="D70" t="str">
        <f>CSV!$S70</f>
        <v>Route 66</v>
      </c>
      <c r="E70" s="5" t="str">
        <f>IF(CSV!$T70&lt;&gt;"",CSV!$T70,"")</f>
        <v/>
      </c>
      <c r="F70">
        <f>CSV!$U70</f>
        <v>2380</v>
      </c>
      <c r="G70">
        <f>CSV!$V70</f>
        <v>1</v>
      </c>
      <c r="H70">
        <f>CSV!$W70</f>
        <v>2380</v>
      </c>
    </row>
    <row r="71" spans="1:8">
      <c r="A71" s="9" t="str">
        <f>CSV!$A71</f>
        <v>510992F53B0A7B40</v>
      </c>
      <c r="B71">
        <f>COUNTIF(CSV!$A$2:'CSV'!A71,CSV!A71)</f>
        <v>5</v>
      </c>
      <c r="C71" t="str">
        <f t="shared" si="2"/>
        <v>510992F53B0A7B40-5</v>
      </c>
      <c r="D71" t="str">
        <f>CSV!$S71</f>
        <v>Route 66</v>
      </c>
      <c r="E71" s="5" t="str">
        <f>IF(CSV!$T71&lt;&gt;"",CSV!$T71,"")</f>
        <v/>
      </c>
      <c r="F71">
        <f>CSV!$U71</f>
        <v>2380</v>
      </c>
      <c r="G71">
        <f>CSV!$V71</f>
        <v>1</v>
      </c>
      <c r="H71">
        <f>CSV!$W71</f>
        <v>2380</v>
      </c>
    </row>
    <row r="72" spans="1:8">
      <c r="A72" s="9" t="str">
        <f>CSV!$A72</f>
        <v>510992F53B0A7B40</v>
      </c>
      <c r="B72">
        <f>COUNTIF(CSV!$A$2:'CSV'!A72,CSV!A72)</f>
        <v>6</v>
      </c>
      <c r="C72" t="str">
        <f t="shared" si="2"/>
        <v>510992F53B0A7B40-6</v>
      </c>
      <c r="D72" t="str">
        <f>CSV!$S72</f>
        <v>The Modern Honolulu</v>
      </c>
      <c r="E72" s="5" t="str">
        <f>IF(CSV!$T72&lt;&gt;"",CSV!$T72,"")</f>
        <v/>
      </c>
      <c r="F72">
        <f>CSV!$U72</f>
        <v>2380</v>
      </c>
      <c r="G72">
        <f>CSV!$V72</f>
        <v>1</v>
      </c>
      <c r="H72">
        <f>CSV!$W72</f>
        <v>2380</v>
      </c>
    </row>
    <row r="73" spans="1:8">
      <c r="A73" s="9" t="str">
        <f>CSV!$A73</f>
        <v>F194D5B468F78572</v>
      </c>
      <c r="B73">
        <f>COUNTIF(CSV!$A$2:'CSV'!A73,CSV!A73)</f>
        <v>5</v>
      </c>
      <c r="C73" t="str">
        <f t="shared" si="2"/>
        <v>F194D5B468F78572-5</v>
      </c>
      <c r="D73" t="str">
        <f>CSV!$S73</f>
        <v>Route 66</v>
      </c>
      <c r="E73" s="5" t="str">
        <f>IF(CSV!$T73&lt;&gt;"",CSV!$T73,"")</f>
        <v/>
      </c>
      <c r="F73">
        <f>CSV!$U73</f>
        <v>2380</v>
      </c>
      <c r="G73">
        <f>CSV!$V73</f>
        <v>1</v>
      </c>
      <c r="H73">
        <f>CSV!$W73</f>
        <v>2380</v>
      </c>
    </row>
    <row r="74" spans="1:8">
      <c r="A74" s="9" t="str">
        <f>CSV!$A74</f>
        <v>F194D5B468F78572</v>
      </c>
      <c r="B74">
        <f>COUNTIF(CSV!$A$2:'CSV'!A74,CSV!A74)</f>
        <v>6</v>
      </c>
      <c r="C74" t="str">
        <f t="shared" si="2"/>
        <v>F194D5B468F78572-6</v>
      </c>
      <c r="D74" t="str">
        <f>CSV!$S74</f>
        <v>The Modern Honolulu</v>
      </c>
      <c r="E74" s="5" t="str">
        <f>IF(CSV!$T74&lt;&gt;"",CSV!$T74,"")</f>
        <v/>
      </c>
      <c r="F74">
        <f>CSV!$U74</f>
        <v>2380</v>
      </c>
      <c r="G74">
        <f>CSV!$V74</f>
        <v>1</v>
      </c>
      <c r="H74">
        <f>CSV!$W74</f>
        <v>2380</v>
      </c>
    </row>
    <row r="75" spans="1:8">
      <c r="A75" s="9" t="str">
        <f>CSV!$A75</f>
        <v>2AA708D415FA7043</v>
      </c>
      <c r="B75">
        <f>COUNTIF(CSV!$A$2:'CSV'!A75,CSV!A75)</f>
        <v>3</v>
      </c>
      <c r="C75" t="str">
        <f t="shared" si="2"/>
        <v>2AA708D415FA7043-3</v>
      </c>
      <c r="D75" t="str">
        <f>CSV!$S75</f>
        <v>Japanese Festival</v>
      </c>
      <c r="E75" s="5" t="str">
        <f>IF(CSV!$T75&lt;&gt;"",CSV!$T75,"")</f>
        <v/>
      </c>
      <c r="F75">
        <f>CSV!$U75</f>
        <v>2380</v>
      </c>
      <c r="G75">
        <f>CSV!$V75</f>
        <v>1</v>
      </c>
      <c r="H75">
        <f>CSV!$W75</f>
        <v>2380</v>
      </c>
    </row>
    <row r="76" spans="1:8">
      <c r="A76" s="9" t="str">
        <f>CSV!$A76</f>
        <v>4DCA29AFD35492F7</v>
      </c>
      <c r="B76">
        <f>COUNTIF(CSV!$A$2:'CSV'!A76,CSV!A76)</f>
        <v>3</v>
      </c>
      <c r="C76" t="str">
        <f t="shared" si="2"/>
        <v>4DCA29AFD35492F7-3</v>
      </c>
      <c r="D76" t="str">
        <f>CSV!$S76</f>
        <v>ShopCard.me - iPhoneケース</v>
      </c>
      <c r="E76" s="5" t="str">
        <f>IF(CSV!$T76&lt;&gt;"",CSV!$T76,"")</f>
        <v/>
      </c>
      <c r="F76">
        <f>CSV!$U76</f>
        <v>1850</v>
      </c>
      <c r="G76">
        <f>CSV!$V76</f>
        <v>1</v>
      </c>
      <c r="H76">
        <f>CSV!$W76</f>
        <v>1850</v>
      </c>
    </row>
    <row r="77" spans="1:8">
      <c r="A77" s="9" t="str">
        <f>CSV!$A77</f>
        <v>1F49E388FCA97A95</v>
      </c>
      <c r="B77">
        <f>COUNTIF(CSV!$A$2:'CSV'!A77,CSV!A77)</f>
        <v>4</v>
      </c>
      <c r="C77" t="str">
        <f t="shared" si="2"/>
        <v>1F49E388FCA97A95-4</v>
      </c>
      <c r="D77" t="str">
        <f>CSV!$S77</f>
        <v>Sunset of Honolulu Beach</v>
      </c>
      <c r="E77" s="5" t="str">
        <f>IF(CSV!$T77&lt;&gt;"",CSV!$T77,"")</f>
        <v/>
      </c>
      <c r="F77">
        <f>CSV!$U77</f>
        <v>2380</v>
      </c>
      <c r="G77">
        <f>CSV!$V77</f>
        <v>1</v>
      </c>
      <c r="H77">
        <f>CSV!$W77</f>
        <v>2380</v>
      </c>
    </row>
    <row r="78" spans="1:8">
      <c r="A78" s="9" t="str">
        <f>CSV!$A78</f>
        <v>515E3C014C0A0D23</v>
      </c>
      <c r="B78">
        <f>COUNTIF(CSV!$A$2:'CSV'!A78,CSV!A78)</f>
        <v>4</v>
      </c>
      <c r="C78" t="str">
        <f t="shared" si="2"/>
        <v>515E3C014C0A0D23-4</v>
      </c>
      <c r="D78" t="str">
        <f>CSV!$S78</f>
        <v>reserve</v>
      </c>
      <c r="E78" s="5" t="str">
        <f>IF(CSV!$T78&lt;&gt;"",CSV!$T78,"")</f>
        <v>サイズA</v>
      </c>
      <c r="F78">
        <f>CSV!$U78</f>
        <v>100</v>
      </c>
      <c r="G78">
        <f>CSV!$V78</f>
        <v>1</v>
      </c>
      <c r="H78">
        <f>CSV!$W78</f>
        <v>100</v>
      </c>
    </row>
    <row r="79" spans="1:8">
      <c r="A79" s="9" t="str">
        <f>CSV!$A79</f>
        <v>00CE7C7588D8F5C2</v>
      </c>
      <c r="B79">
        <f>COUNTIF(CSV!$A$2:'CSV'!A79,CSV!A79)</f>
        <v>4</v>
      </c>
      <c r="C79" t="str">
        <f t="shared" si="2"/>
        <v>00CE7C7588D8F5C2-4</v>
      </c>
      <c r="D79" t="str">
        <f>CSV!$S79</f>
        <v>リンツショコラ・カフェ　渋谷 reserve</v>
      </c>
      <c r="E79" s="5" t="str">
        <f>IF(CSV!$T79&lt;&gt;"",CSV!$T79,"")</f>
        <v/>
      </c>
      <c r="F79">
        <f>CSV!$U79</f>
        <v>100</v>
      </c>
      <c r="G79">
        <f>CSV!$V79</f>
        <v>1</v>
      </c>
      <c r="H79">
        <f>CSV!$W79</f>
        <v>100</v>
      </c>
    </row>
    <row r="80" spans="1:8">
      <c r="A80" s="9" t="str">
        <f>CSV!$A80</f>
        <v>9B6C71A3B1C1C2E3</v>
      </c>
      <c r="B80">
        <f>COUNTIF(CSV!$A$2:'CSV'!A80,CSV!A80)</f>
        <v>4</v>
      </c>
      <c r="C80" t="str">
        <f t="shared" si="2"/>
        <v>9B6C71A3B1C1C2E3-4</v>
      </c>
      <c r="D80" t="str">
        <f>CSV!$S80</f>
        <v>The Modern Honolulu</v>
      </c>
      <c r="E80" s="5" t="str">
        <f>IF(CSV!$T80&lt;&gt;"",CSV!$T80,"")</f>
        <v/>
      </c>
      <c r="F80">
        <f>CSV!$U80</f>
        <v>2380</v>
      </c>
      <c r="G80">
        <f>CSV!$V80</f>
        <v>1</v>
      </c>
      <c r="H80">
        <f>CSV!$W80</f>
        <v>2380</v>
      </c>
    </row>
    <row r="81" spans="1:8">
      <c r="A81" s="9" t="str">
        <f>CSV!$A81</f>
        <v>C3C146FE4CD2D8D8</v>
      </c>
      <c r="B81">
        <f>COUNTIF(CSV!$A$2:'CSV'!A81,CSV!A81)</f>
        <v>7</v>
      </c>
      <c r="C81" t="str">
        <f t="shared" si="2"/>
        <v>C3C146FE4CD2D8D8-7</v>
      </c>
      <c r="D81" t="str">
        <f>CSV!$S81</f>
        <v>マイルドヤンキーケース</v>
      </c>
      <c r="E81" s="5" t="str">
        <f>IF(CSV!$T81&lt;&gt;"",CSV!$T81,"")</f>
        <v/>
      </c>
      <c r="F81">
        <f>CSV!$U81</f>
        <v>2380</v>
      </c>
      <c r="G81">
        <f>CSV!$V81</f>
        <v>1</v>
      </c>
      <c r="H81">
        <f>CSV!$W81</f>
        <v>2380</v>
      </c>
    </row>
    <row r="82" spans="1:8">
      <c r="A82" s="9" t="str">
        <f>CSV!$A82</f>
        <v>C3C146FE4CD2D8D8</v>
      </c>
      <c r="B82">
        <f>COUNTIF(CSV!$A$2:'CSV'!A82,CSV!A82)</f>
        <v>8</v>
      </c>
      <c r="C82" t="str">
        <f t="shared" si="2"/>
        <v>C3C146FE4CD2D8D8-8</v>
      </c>
      <c r="D82" t="str">
        <f>CSV!$S82</f>
        <v>The Modern Honolulu</v>
      </c>
      <c r="E82" s="5" t="str">
        <f>IF(CSV!$T82&lt;&gt;"",CSV!$T82,"")</f>
        <v/>
      </c>
      <c r="F82">
        <f>CSV!$U82</f>
        <v>2380</v>
      </c>
      <c r="G82">
        <f>CSV!$V82</f>
        <v>1</v>
      </c>
      <c r="H82">
        <f>CSV!$W82</f>
        <v>2380</v>
      </c>
    </row>
    <row r="83" spans="1:8">
      <c r="A83" s="9" t="str">
        <f>CSV!$A83</f>
        <v>E483133970132B96</v>
      </c>
      <c r="B83">
        <f>COUNTIF(CSV!$A$2:'CSV'!A83,CSV!A83)</f>
        <v>4</v>
      </c>
      <c r="C83" t="str">
        <f t="shared" si="2"/>
        <v>E483133970132B96-4</v>
      </c>
      <c r="D83" t="str">
        <f>CSV!$S83</f>
        <v>Sunset of Honolulu Beach</v>
      </c>
      <c r="E83" s="5" t="str">
        <f>IF(CSV!$T83&lt;&gt;"",CSV!$T83,"")</f>
        <v/>
      </c>
      <c r="F83">
        <f>CSV!$U83</f>
        <v>2380</v>
      </c>
      <c r="G83">
        <f>CSV!$V83</f>
        <v>2</v>
      </c>
      <c r="H83">
        <f>CSV!$W83</f>
        <v>4760</v>
      </c>
    </row>
    <row r="84" spans="1:8">
      <c r="A84" s="9" t="str">
        <f>CSV!$A84</f>
        <v>F01F147D0F3447BE</v>
      </c>
      <c r="B84">
        <f>COUNTIF(CSV!$A$2:'CSV'!A84,CSV!A84)</f>
        <v>4</v>
      </c>
      <c r="C84" t="str">
        <f t="shared" si="2"/>
        <v>F01F147D0F3447BE-4</v>
      </c>
      <c r="D84" t="str">
        <f>CSV!$S84</f>
        <v>Sunset of Honolulu Beach</v>
      </c>
      <c r="E84" s="5" t="str">
        <f>IF(CSV!$T84&lt;&gt;"",CSV!$T84,"")</f>
        <v/>
      </c>
      <c r="F84">
        <f>CSV!$U84</f>
        <v>2380</v>
      </c>
      <c r="G84">
        <f>CSV!$V84</f>
        <v>3</v>
      </c>
      <c r="H84">
        <f>CSV!$W84</f>
        <v>7140</v>
      </c>
    </row>
    <row r="85" spans="1:8">
      <c r="A85" s="9" t="str">
        <f>CSV!$A85</f>
        <v>6D6CA2DF8112B6E6</v>
      </c>
      <c r="B85">
        <f>COUNTIF(CSV!$A$2:'CSV'!A85,CSV!A85)</f>
        <v>4</v>
      </c>
      <c r="C85" t="str">
        <f t="shared" si="2"/>
        <v>6D6CA2DF8112B6E6-4</v>
      </c>
      <c r="D85" t="str">
        <f>CSV!$S85</f>
        <v>Sunset of Honolulu Beach</v>
      </c>
      <c r="E85" s="5" t="str">
        <f>IF(CSV!$T85&lt;&gt;"",CSV!$T85,"")</f>
        <v/>
      </c>
      <c r="F85">
        <f>CSV!$U85</f>
        <v>2380</v>
      </c>
      <c r="G85">
        <f>CSV!$V85</f>
        <v>2</v>
      </c>
      <c r="H85">
        <f>CSV!$W85</f>
        <v>4760</v>
      </c>
    </row>
    <row r="86" spans="1:8">
      <c r="A86" s="9" t="str">
        <f>CSV!$A86</f>
        <v>1C5218267981E345</v>
      </c>
      <c r="B86">
        <f>COUNTIF(CSV!$A$2:'CSV'!A86,CSV!A86)</f>
        <v>4</v>
      </c>
      <c r="C86" t="str">
        <f t="shared" si="2"/>
        <v>1C5218267981E345-4</v>
      </c>
      <c r="D86" t="str">
        <f>CSV!$S86</f>
        <v>Sunset of Honolulu Beach</v>
      </c>
      <c r="E86" s="5" t="str">
        <f>IF(CSV!$T86&lt;&gt;"",CSV!$T86,"")</f>
        <v/>
      </c>
      <c r="F86">
        <f>CSV!$U86</f>
        <v>2380</v>
      </c>
      <c r="G86">
        <f>CSV!$V86</f>
        <v>1</v>
      </c>
      <c r="H86">
        <f>CSV!$W86</f>
        <v>2380</v>
      </c>
    </row>
    <row r="87" spans="1:8">
      <c r="A87" s="9" t="str">
        <f>CSV!$A87</f>
        <v>93991EC6E33140D0</v>
      </c>
      <c r="B87">
        <f>COUNTIF(CSV!$A$2:'CSV'!A87,CSV!A87)</f>
        <v>4</v>
      </c>
      <c r="C87" t="str">
        <f t="shared" si="2"/>
        <v>93991EC6E33140D0-4</v>
      </c>
      <c r="D87" t="str">
        <f>CSV!$S87</f>
        <v>Sunset of Honolulu Beach</v>
      </c>
      <c r="E87" s="5" t="str">
        <f>IF(CSV!$T87&lt;&gt;"",CSV!$T87,"")</f>
        <v/>
      </c>
      <c r="F87">
        <f>CSV!$U87</f>
        <v>2380</v>
      </c>
      <c r="G87">
        <f>CSV!$V87</f>
        <v>1</v>
      </c>
      <c r="H87">
        <f>CSV!$W87</f>
        <v>2380</v>
      </c>
    </row>
    <row r="88" spans="1:8">
      <c r="A88" s="9" t="str">
        <f>CSV!$A88</f>
        <v>EB2CED3D0E1A7607</v>
      </c>
      <c r="B88">
        <f>COUNTIF(CSV!$A$2:'CSV'!A88,CSV!A88)</f>
        <v>7</v>
      </c>
      <c r="C88" t="str">
        <f t="shared" si="2"/>
        <v>EB2CED3D0E1A7607-7</v>
      </c>
      <c r="D88" t="str">
        <f>CSV!$S88</f>
        <v>China town in Japan</v>
      </c>
      <c r="E88" s="5" t="str">
        <f>IF(CSV!$T88&lt;&gt;"",CSV!$T88,"")</f>
        <v/>
      </c>
      <c r="F88">
        <f>CSV!$U88</f>
        <v>2380</v>
      </c>
      <c r="G88">
        <f>CSV!$V88</f>
        <v>1</v>
      </c>
      <c r="H88">
        <f>CSV!$W88</f>
        <v>2380</v>
      </c>
    </row>
    <row r="89" spans="1:8">
      <c r="A89" s="9" t="str">
        <f>CSV!$A89</f>
        <v>EB2CED3D0E1A7607</v>
      </c>
      <c r="B89">
        <f>COUNTIF(CSV!$A$2:'CSV'!A89,CSV!A89)</f>
        <v>8</v>
      </c>
      <c r="C89" t="str">
        <f t="shared" si="2"/>
        <v>EB2CED3D0E1A7607-8</v>
      </c>
      <c r="D89" t="str">
        <f>CSV!$S89</f>
        <v>Route 66</v>
      </c>
      <c r="E89" s="5" t="str">
        <f>IF(CSV!$T89&lt;&gt;"",CSV!$T89,"")</f>
        <v/>
      </c>
      <c r="F89">
        <f>CSV!$U89</f>
        <v>2380</v>
      </c>
      <c r="G89">
        <f>CSV!$V89</f>
        <v>1</v>
      </c>
      <c r="H89">
        <f>CSV!$W89</f>
        <v>2380</v>
      </c>
    </row>
    <row r="90" spans="1:8">
      <c r="A90" s="9" t="str">
        <f>CSV!$A90</f>
        <v>67CDE974345FA606</v>
      </c>
      <c r="B90">
        <f>COUNTIF(CSV!$A$2:'CSV'!A90,CSV!A90)</f>
        <v>7</v>
      </c>
      <c r="C90" t="str">
        <f t="shared" si="2"/>
        <v>67CDE974345FA606-7</v>
      </c>
      <c r="D90" t="str">
        <f>CSV!$S90</f>
        <v>Route 66</v>
      </c>
      <c r="E90" s="5" t="str">
        <f>IF(CSV!$T90&lt;&gt;"",CSV!$T90,"")</f>
        <v/>
      </c>
      <c r="F90">
        <f>CSV!$U90</f>
        <v>2380</v>
      </c>
      <c r="G90">
        <f>CSV!$V90</f>
        <v>1</v>
      </c>
      <c r="H90">
        <f>CSV!$W90</f>
        <v>2380</v>
      </c>
    </row>
    <row r="91" spans="1:8">
      <c r="A91" s="9" t="str">
        <f>CSV!$A91</f>
        <v>67CDE974345FA606</v>
      </c>
      <c r="B91">
        <f>COUNTIF(CSV!$A$2:'CSV'!A91,CSV!A91)</f>
        <v>8</v>
      </c>
      <c r="C91" t="str">
        <f t="shared" si="2"/>
        <v>67CDE974345FA606-8</v>
      </c>
      <c r="D91" t="str">
        <f>CSV!$S91</f>
        <v>China town in Japan</v>
      </c>
      <c r="E91" s="5" t="str">
        <f>IF(CSV!$T91&lt;&gt;"",CSV!$T91,"")</f>
        <v/>
      </c>
      <c r="F91">
        <f>CSV!$U91</f>
        <v>2380</v>
      </c>
      <c r="G91">
        <f>CSV!$V91</f>
        <v>1</v>
      </c>
      <c r="H91">
        <f>CSV!$W91</f>
        <v>2380</v>
      </c>
    </row>
    <row r="92" spans="1:8">
      <c r="A92" s="9" t="str">
        <f>CSV!$A92</f>
        <v>5E1AEA5E021DDB21</v>
      </c>
      <c r="B92">
        <f>COUNTIF(CSV!$A$2:'CSV'!A92,CSV!A92)</f>
        <v>7</v>
      </c>
      <c r="C92" t="str">
        <f t="shared" si="2"/>
        <v>5E1AEA5E021DDB21-7</v>
      </c>
      <c r="D92" t="str">
        <f>CSV!$S92</f>
        <v>Route 66</v>
      </c>
      <c r="E92" s="5" t="str">
        <f>IF(CSV!$T92&lt;&gt;"",CSV!$T92,"")</f>
        <v/>
      </c>
      <c r="F92">
        <f>CSV!$U92</f>
        <v>2380</v>
      </c>
      <c r="G92">
        <f>CSV!$V92</f>
        <v>1</v>
      </c>
      <c r="H92">
        <f>CSV!$W92</f>
        <v>2380</v>
      </c>
    </row>
    <row r="93" spans="1:8">
      <c r="A93" s="9" t="str">
        <f>CSV!$A93</f>
        <v>5E1AEA5E021DDB21</v>
      </c>
      <c r="B93">
        <f>COUNTIF(CSV!$A$2:'CSV'!A93,CSV!A93)</f>
        <v>8</v>
      </c>
      <c r="C93" t="str">
        <f t="shared" si="2"/>
        <v>5E1AEA5E021DDB21-8</v>
      </c>
      <c r="D93" t="str">
        <f>CSV!$S93</f>
        <v>マイルドヤンキーケース</v>
      </c>
      <c r="E93" s="5" t="str">
        <f>IF(CSV!$T93&lt;&gt;"",CSV!$T93,"")</f>
        <v/>
      </c>
      <c r="F93">
        <f>CSV!$U93</f>
        <v>2380</v>
      </c>
      <c r="G93">
        <f>CSV!$V93</f>
        <v>1</v>
      </c>
      <c r="H93">
        <f>CSV!$W93</f>
        <v>2380</v>
      </c>
    </row>
    <row r="94" spans="1:8">
      <c r="A94" s="9" t="str">
        <f>CSV!$A94</f>
        <v>054D0D6A07404873</v>
      </c>
      <c r="B94">
        <f>COUNTIF(CSV!$A$2:'CSV'!A94,CSV!A94)</f>
        <v>7</v>
      </c>
      <c r="C94" t="str">
        <f t="shared" si="2"/>
        <v>054D0D6A07404873-7</v>
      </c>
      <c r="D94" t="str">
        <f>CSV!$S94</f>
        <v>The Modern Honolulu</v>
      </c>
      <c r="E94" s="5" t="str">
        <f>IF(CSV!$T94&lt;&gt;"",CSV!$T94,"")</f>
        <v/>
      </c>
      <c r="F94">
        <f>CSV!$U94</f>
        <v>2380</v>
      </c>
      <c r="G94">
        <f>CSV!$V94</f>
        <v>1</v>
      </c>
      <c r="H94">
        <f>CSV!$W94</f>
        <v>2380</v>
      </c>
    </row>
    <row r="95" spans="1:8">
      <c r="A95" s="9" t="str">
        <f>CSV!$A95</f>
        <v>054D0D6A07404873</v>
      </c>
      <c r="B95">
        <f>COUNTIF(CSV!$A$2:'CSV'!A95,CSV!A95)</f>
        <v>8</v>
      </c>
      <c r="C95" t="str">
        <f t="shared" si="2"/>
        <v>054D0D6A07404873-8</v>
      </c>
      <c r="D95" t="str">
        <f>CSV!$S95</f>
        <v>Route 66</v>
      </c>
      <c r="E95" s="5" t="str">
        <f>IF(CSV!$T95&lt;&gt;"",CSV!$T95,"")</f>
        <v/>
      </c>
      <c r="F95">
        <f>CSV!$U95</f>
        <v>2380</v>
      </c>
      <c r="G95">
        <f>CSV!$V95</f>
        <v>1</v>
      </c>
      <c r="H95">
        <f>CSV!$W95</f>
        <v>2380</v>
      </c>
    </row>
    <row r="96" spans="1:8">
      <c r="A96" s="9" t="str">
        <f>CSV!$A96</f>
        <v>510992F53B0A7B40</v>
      </c>
      <c r="B96">
        <f>COUNTIF(CSV!$A$2:'CSV'!A96,CSV!A96)</f>
        <v>7</v>
      </c>
      <c r="C96" t="str">
        <f t="shared" si="2"/>
        <v>510992F53B0A7B40-7</v>
      </c>
      <c r="D96" t="str">
        <f>CSV!$S96</f>
        <v>Route 66</v>
      </c>
      <c r="E96" s="5" t="str">
        <f>IF(CSV!$T96&lt;&gt;"",CSV!$T96,"")</f>
        <v/>
      </c>
      <c r="F96">
        <f>CSV!$U96</f>
        <v>2380</v>
      </c>
      <c r="G96">
        <f>CSV!$V96</f>
        <v>1</v>
      </c>
      <c r="H96">
        <f>CSV!$W96</f>
        <v>2380</v>
      </c>
    </row>
    <row r="97" spans="1:8">
      <c r="A97" s="9" t="str">
        <f>CSV!$A97</f>
        <v>510992F53B0A7B40</v>
      </c>
      <c r="B97">
        <f>COUNTIF(CSV!$A$2:'CSV'!A97,CSV!A97)</f>
        <v>8</v>
      </c>
      <c r="C97" t="str">
        <f t="shared" si="2"/>
        <v>510992F53B0A7B40-8</v>
      </c>
      <c r="D97" t="str">
        <f>CSV!$S97</f>
        <v>The Modern Honolulu</v>
      </c>
      <c r="E97" s="5" t="str">
        <f>IF(CSV!$T97&lt;&gt;"",CSV!$T97,"")</f>
        <v/>
      </c>
      <c r="F97">
        <f>CSV!$U97</f>
        <v>2380</v>
      </c>
      <c r="G97">
        <f>CSV!$V97</f>
        <v>1</v>
      </c>
      <c r="H97">
        <f>CSV!$W97</f>
        <v>2380</v>
      </c>
    </row>
    <row r="98" spans="1:8">
      <c r="A98" s="9" t="str">
        <f>CSV!$A98</f>
        <v>F194D5B468F78572</v>
      </c>
      <c r="B98">
        <f>COUNTIF(CSV!$A$2:'CSV'!A98,CSV!A98)</f>
        <v>7</v>
      </c>
      <c r="C98" t="str">
        <f t="shared" si="2"/>
        <v>F194D5B468F78572-7</v>
      </c>
      <c r="D98" t="str">
        <f>CSV!$S98</f>
        <v>Route 66</v>
      </c>
      <c r="E98" s="5" t="str">
        <f>IF(CSV!$T98&lt;&gt;"",CSV!$T98,"")</f>
        <v/>
      </c>
      <c r="F98">
        <f>CSV!$U98</f>
        <v>2380</v>
      </c>
      <c r="G98">
        <f>CSV!$V98</f>
        <v>1</v>
      </c>
      <c r="H98">
        <f>CSV!$W98</f>
        <v>2380</v>
      </c>
    </row>
    <row r="99" spans="1:8">
      <c r="A99" s="9" t="str">
        <f>CSV!$A99</f>
        <v>F194D5B468F78572</v>
      </c>
      <c r="B99">
        <f>COUNTIF(CSV!$A$2:'CSV'!A99,CSV!A99)</f>
        <v>8</v>
      </c>
      <c r="C99" t="str">
        <f t="shared" si="2"/>
        <v>F194D5B468F78572-8</v>
      </c>
      <c r="D99" t="str">
        <f>CSV!$S99</f>
        <v>The Modern Honolulu</v>
      </c>
      <c r="E99" s="5" t="str">
        <f>IF(CSV!$T99&lt;&gt;"",CSV!$T99,"")</f>
        <v/>
      </c>
      <c r="F99">
        <f>CSV!$U99</f>
        <v>2380</v>
      </c>
      <c r="G99">
        <f>CSV!$V99</f>
        <v>1</v>
      </c>
      <c r="H99">
        <f>CSV!$W99</f>
        <v>2380</v>
      </c>
    </row>
    <row r="100" spans="1:8">
      <c r="A100" s="9" t="str">
        <f>CSV!$A100</f>
        <v>2AA708D415FA7043</v>
      </c>
      <c r="B100">
        <f>COUNTIF(CSV!$A$2:'CSV'!A100,CSV!A100)</f>
        <v>4</v>
      </c>
      <c r="C100" t="str">
        <f t="shared" si="2"/>
        <v>2AA708D415FA7043-4</v>
      </c>
      <c r="D100" t="str">
        <f>CSV!$S100</f>
        <v>Japanese Festival</v>
      </c>
      <c r="E100" s="5" t="str">
        <f>IF(CSV!$T100&lt;&gt;"",CSV!$T100,"")</f>
        <v/>
      </c>
      <c r="F100">
        <f>CSV!$U100</f>
        <v>2380</v>
      </c>
      <c r="G100">
        <f>CSV!$V100</f>
        <v>1</v>
      </c>
      <c r="H100">
        <f>CSV!$W100</f>
        <v>2380</v>
      </c>
    </row>
    <row r="101" spans="1:8">
      <c r="A101" s="9" t="str">
        <f>CSV!$A101</f>
        <v>4DCA29AFD35492F7</v>
      </c>
      <c r="B101">
        <f>COUNTIF(CSV!$A$2:'CSV'!A101,CSV!A101)</f>
        <v>4</v>
      </c>
      <c r="C101" t="str">
        <f t="shared" si="2"/>
        <v>4DCA29AFD35492F7-4</v>
      </c>
      <c r="D101" t="str">
        <f>CSV!$S101</f>
        <v>ShopCard.me - iPhoneケース</v>
      </c>
      <c r="E101" s="5" t="str">
        <f>IF(CSV!$T101&lt;&gt;"",CSV!$T101,"")</f>
        <v/>
      </c>
      <c r="F101">
        <f>CSV!$U101</f>
        <v>1850</v>
      </c>
      <c r="G101">
        <f>CSV!$V101</f>
        <v>1</v>
      </c>
      <c r="H101">
        <f>CSV!$W101</f>
        <v>1850</v>
      </c>
    </row>
    <row r="102" spans="1:8">
      <c r="A102" s="9">
        <f>CSV!$A102</f>
        <v>0</v>
      </c>
      <c r="B102">
        <f>COUNTIF(CSV!$A$2:'CSV'!A102,CSV!A102)</f>
        <v>0</v>
      </c>
      <c r="C102" t="str">
        <f t="shared" si="2"/>
        <v>0-0</v>
      </c>
      <c r="D102">
        <f>CSV!$S102</f>
        <v>0</v>
      </c>
      <c r="E102" s="5" t="str">
        <f>IF(CSV!$T102&lt;&gt;"",CSV!$T102,"")</f>
        <v/>
      </c>
      <c r="F102">
        <f>CSV!$U102</f>
        <v>0</v>
      </c>
      <c r="G102">
        <f>CSV!$V102</f>
        <v>0</v>
      </c>
      <c r="H102">
        <f>CSV!$W102</f>
        <v>0</v>
      </c>
    </row>
    <row r="103" spans="1:8">
      <c r="A103" s="9">
        <f>CSV!$A103</f>
        <v>0</v>
      </c>
      <c r="B103">
        <f>COUNTIF(CSV!$A$2:'CSV'!A103,CSV!A103)</f>
        <v>0</v>
      </c>
      <c r="C103" t="str">
        <f t="shared" si="2"/>
        <v>0-0</v>
      </c>
      <c r="D103">
        <f>CSV!$S103</f>
        <v>0</v>
      </c>
      <c r="E103" s="5" t="str">
        <f>IF(CSV!$T103&lt;&gt;"",CSV!$T103,"")</f>
        <v/>
      </c>
      <c r="F103">
        <f>CSV!$U103</f>
        <v>0</v>
      </c>
      <c r="G103">
        <f>CSV!$V103</f>
        <v>0</v>
      </c>
      <c r="H103">
        <f>CSV!$W103</f>
        <v>0</v>
      </c>
    </row>
    <row r="104" spans="1:8">
      <c r="A104" s="9">
        <f>CSV!$A104</f>
        <v>0</v>
      </c>
      <c r="B104">
        <f>COUNTIF(CSV!$A$2:'CSV'!A104,CSV!A104)</f>
        <v>0</v>
      </c>
      <c r="C104" t="str">
        <f t="shared" si="2"/>
        <v>0-0</v>
      </c>
      <c r="D104">
        <f>CSV!$S104</f>
        <v>0</v>
      </c>
      <c r="E104" s="5" t="str">
        <f>IF(CSV!$T104&lt;&gt;"",CSV!$T104,"")</f>
        <v/>
      </c>
      <c r="F104">
        <f>CSV!$U104</f>
        <v>0</v>
      </c>
      <c r="G104">
        <f>CSV!$V104</f>
        <v>0</v>
      </c>
      <c r="H104">
        <f>CSV!$W104</f>
        <v>0</v>
      </c>
    </row>
    <row r="105" spans="1:8">
      <c r="A105" s="9">
        <f>CSV!$A105</f>
        <v>0</v>
      </c>
      <c r="B105">
        <f>COUNTIF(CSV!$A$2:'CSV'!A105,CSV!A105)</f>
        <v>0</v>
      </c>
      <c r="C105" t="str">
        <f t="shared" si="2"/>
        <v>0-0</v>
      </c>
      <c r="D105">
        <f>CSV!$S105</f>
        <v>0</v>
      </c>
      <c r="E105" s="5" t="str">
        <f>IF(CSV!$T105&lt;&gt;"",CSV!$T105,"")</f>
        <v/>
      </c>
      <c r="F105">
        <f>CSV!$U105</f>
        <v>0</v>
      </c>
      <c r="G105">
        <f>CSV!$V105</f>
        <v>0</v>
      </c>
      <c r="H105">
        <f>CSV!$W105</f>
        <v>0</v>
      </c>
    </row>
    <row r="106" spans="1:8">
      <c r="A106" s="9">
        <f>CSV!$A106</f>
        <v>0</v>
      </c>
      <c r="B106">
        <f>COUNTIF(CSV!$A$2:'CSV'!A106,CSV!A106)</f>
        <v>0</v>
      </c>
      <c r="C106" t="str">
        <f t="shared" si="2"/>
        <v>0-0</v>
      </c>
      <c r="D106">
        <f>CSV!$S106</f>
        <v>0</v>
      </c>
      <c r="E106" s="5" t="str">
        <f>IF(CSV!$T106&lt;&gt;"",CSV!$T106,"")</f>
        <v/>
      </c>
      <c r="F106">
        <f>CSV!$U106</f>
        <v>0</v>
      </c>
      <c r="G106">
        <f>CSV!$V106</f>
        <v>0</v>
      </c>
      <c r="H106">
        <f>CSV!$W106</f>
        <v>0</v>
      </c>
    </row>
    <row r="107" spans="1:8">
      <c r="A107" s="9">
        <f>CSV!$A107</f>
        <v>0</v>
      </c>
      <c r="B107">
        <f>COUNTIF(CSV!$A$2:'CSV'!A107,CSV!A107)</f>
        <v>0</v>
      </c>
      <c r="C107" t="str">
        <f t="shared" si="2"/>
        <v>0-0</v>
      </c>
      <c r="D107">
        <f>CSV!$S107</f>
        <v>0</v>
      </c>
      <c r="E107" s="5" t="str">
        <f>IF(CSV!$T107&lt;&gt;"",CSV!$T107,"")</f>
        <v/>
      </c>
      <c r="F107">
        <f>CSV!$U107</f>
        <v>0</v>
      </c>
      <c r="G107">
        <f>CSV!$V107</f>
        <v>0</v>
      </c>
      <c r="H107">
        <f>CSV!$W107</f>
        <v>0</v>
      </c>
    </row>
    <row r="108" spans="1:8">
      <c r="A108" s="9">
        <f>CSV!$A108</f>
        <v>0</v>
      </c>
      <c r="B108">
        <f>COUNTIF(CSV!$A$2:'CSV'!A108,CSV!A108)</f>
        <v>0</v>
      </c>
      <c r="C108" t="str">
        <f t="shared" si="2"/>
        <v>0-0</v>
      </c>
      <c r="D108">
        <f>CSV!$S108</f>
        <v>0</v>
      </c>
      <c r="E108" s="5" t="str">
        <f>IF(CSV!$T108&lt;&gt;"",CSV!$T108,"")</f>
        <v/>
      </c>
      <c r="F108">
        <f>CSV!$U108</f>
        <v>0</v>
      </c>
      <c r="G108">
        <f>CSV!$V108</f>
        <v>0</v>
      </c>
      <c r="H108">
        <f>CSV!$W108</f>
        <v>0</v>
      </c>
    </row>
    <row r="109" spans="1:8">
      <c r="A109" s="9">
        <f>CSV!$A109</f>
        <v>0</v>
      </c>
      <c r="B109">
        <f>COUNTIF(CSV!$A$2:'CSV'!A109,CSV!A109)</f>
        <v>0</v>
      </c>
      <c r="C109" t="str">
        <f t="shared" si="2"/>
        <v>0-0</v>
      </c>
      <c r="D109">
        <f>CSV!$S109</f>
        <v>0</v>
      </c>
      <c r="E109" s="5" t="str">
        <f>IF(CSV!$T109&lt;&gt;"",CSV!$T109,"")</f>
        <v/>
      </c>
      <c r="F109">
        <f>CSV!$U109</f>
        <v>0</v>
      </c>
      <c r="G109">
        <f>CSV!$V109</f>
        <v>0</v>
      </c>
      <c r="H109">
        <f>CSV!$W109</f>
        <v>0</v>
      </c>
    </row>
    <row r="110" spans="1:8">
      <c r="A110" s="9">
        <f>CSV!$A110</f>
        <v>0</v>
      </c>
      <c r="B110">
        <f>COUNTIF(CSV!$A$2:'CSV'!A110,CSV!A110)</f>
        <v>0</v>
      </c>
      <c r="C110" t="str">
        <f t="shared" si="2"/>
        <v>0-0</v>
      </c>
      <c r="D110">
        <f>CSV!$S110</f>
        <v>0</v>
      </c>
      <c r="E110" s="5" t="str">
        <f>IF(CSV!$T110&lt;&gt;"",CSV!$T110,"")</f>
        <v/>
      </c>
      <c r="F110">
        <f>CSV!$U110</f>
        <v>0</v>
      </c>
      <c r="G110">
        <f>CSV!$V110</f>
        <v>0</v>
      </c>
      <c r="H110">
        <f>CSV!$W110</f>
        <v>0</v>
      </c>
    </row>
    <row r="111" spans="1:8">
      <c r="A111" s="9">
        <f>CSV!$A111</f>
        <v>0</v>
      </c>
      <c r="B111">
        <f>COUNTIF(CSV!$A$2:'CSV'!A111,CSV!A111)</f>
        <v>0</v>
      </c>
      <c r="C111" t="str">
        <f t="shared" si="2"/>
        <v>0-0</v>
      </c>
      <c r="D111">
        <f>CSV!$S111</f>
        <v>0</v>
      </c>
      <c r="E111" s="5" t="str">
        <f>IF(CSV!$T111&lt;&gt;"",CSV!$T111,"")</f>
        <v/>
      </c>
      <c r="F111">
        <f>CSV!$U111</f>
        <v>0</v>
      </c>
      <c r="G111">
        <f>CSV!$V111</f>
        <v>0</v>
      </c>
      <c r="H111">
        <f>CSV!$W111</f>
        <v>0</v>
      </c>
    </row>
    <row r="112" spans="1:8">
      <c r="A112" s="9">
        <f>CSV!$A112</f>
        <v>0</v>
      </c>
      <c r="B112">
        <f>COUNTIF(CSV!$A$2:'CSV'!A112,CSV!A112)</f>
        <v>0</v>
      </c>
      <c r="C112" t="str">
        <f t="shared" si="2"/>
        <v>0-0</v>
      </c>
      <c r="D112">
        <f>CSV!$S112</f>
        <v>0</v>
      </c>
      <c r="E112" s="5" t="str">
        <f>IF(CSV!$T112&lt;&gt;"",CSV!$T112,"")</f>
        <v/>
      </c>
      <c r="F112">
        <f>CSV!$U112</f>
        <v>0</v>
      </c>
      <c r="G112">
        <f>CSV!$V112</f>
        <v>0</v>
      </c>
      <c r="H112">
        <f>CSV!$W112</f>
        <v>0</v>
      </c>
    </row>
    <row r="113" spans="1:8">
      <c r="A113" s="9">
        <f>CSV!$A113</f>
        <v>0</v>
      </c>
      <c r="B113">
        <f>COUNTIF(CSV!$A$2:'CSV'!A113,CSV!A113)</f>
        <v>0</v>
      </c>
      <c r="C113" t="str">
        <f t="shared" si="2"/>
        <v>0-0</v>
      </c>
      <c r="D113">
        <f>CSV!$S113</f>
        <v>0</v>
      </c>
      <c r="E113" s="5" t="str">
        <f>IF(CSV!$T113&lt;&gt;"",CSV!$T113,"")</f>
        <v/>
      </c>
      <c r="F113">
        <f>CSV!$U113</f>
        <v>0</v>
      </c>
      <c r="G113">
        <f>CSV!$V113</f>
        <v>0</v>
      </c>
      <c r="H113">
        <f>CSV!$W113</f>
        <v>0</v>
      </c>
    </row>
    <row r="114" spans="1:8">
      <c r="A114" s="9">
        <f>CSV!$A114</f>
        <v>0</v>
      </c>
      <c r="B114">
        <f>COUNTIF(CSV!$A$2:'CSV'!A114,CSV!A114)</f>
        <v>0</v>
      </c>
      <c r="C114" t="str">
        <f t="shared" si="2"/>
        <v>0-0</v>
      </c>
      <c r="D114">
        <f>CSV!$S114</f>
        <v>0</v>
      </c>
      <c r="E114" s="5" t="str">
        <f>IF(CSV!$T114&lt;&gt;"",CSV!$T114,"")</f>
        <v/>
      </c>
      <c r="F114">
        <f>CSV!$U114</f>
        <v>0</v>
      </c>
      <c r="G114">
        <f>CSV!$V114</f>
        <v>0</v>
      </c>
      <c r="H114">
        <f>CSV!$W114</f>
        <v>0</v>
      </c>
    </row>
    <row r="115" spans="1:8">
      <c r="A115" s="9">
        <f>CSV!$A115</f>
        <v>0</v>
      </c>
      <c r="B115">
        <f>COUNTIF(CSV!$A$2:'CSV'!A115,CSV!A115)</f>
        <v>0</v>
      </c>
      <c r="C115" t="str">
        <f t="shared" si="2"/>
        <v>0-0</v>
      </c>
      <c r="D115">
        <f>CSV!$S115</f>
        <v>0</v>
      </c>
      <c r="E115" s="5" t="str">
        <f>IF(CSV!$T115&lt;&gt;"",CSV!$T115,"")</f>
        <v/>
      </c>
      <c r="F115">
        <f>CSV!$U115</f>
        <v>0</v>
      </c>
      <c r="G115">
        <f>CSV!$V115</f>
        <v>0</v>
      </c>
      <c r="H115">
        <f>CSV!$W115</f>
        <v>0</v>
      </c>
    </row>
    <row r="116" spans="1:8">
      <c r="A116" s="9">
        <f>CSV!$A116</f>
        <v>0</v>
      </c>
      <c r="B116">
        <f>COUNTIF(CSV!$A$2:'CSV'!A116,CSV!A116)</f>
        <v>0</v>
      </c>
      <c r="C116" t="str">
        <f t="shared" si="2"/>
        <v>0-0</v>
      </c>
      <c r="D116">
        <f>CSV!$S116</f>
        <v>0</v>
      </c>
      <c r="E116" s="5" t="str">
        <f>IF(CSV!$T116&lt;&gt;"",CSV!$T116,"")</f>
        <v/>
      </c>
      <c r="F116">
        <f>CSV!$U116</f>
        <v>0</v>
      </c>
      <c r="G116">
        <f>CSV!$V116</f>
        <v>0</v>
      </c>
      <c r="H116">
        <f>CSV!$W116</f>
        <v>0</v>
      </c>
    </row>
    <row r="117" spans="1:8">
      <c r="A117" s="9">
        <f>CSV!$A117</f>
        <v>0</v>
      </c>
      <c r="B117">
        <f>COUNTIF(CSV!$A$2:'CSV'!A117,CSV!A117)</f>
        <v>0</v>
      </c>
      <c r="C117" t="str">
        <f t="shared" si="2"/>
        <v>0-0</v>
      </c>
      <c r="D117">
        <f>CSV!$S117</f>
        <v>0</v>
      </c>
      <c r="E117" s="5" t="str">
        <f>IF(CSV!$T117&lt;&gt;"",CSV!$T117,"")</f>
        <v/>
      </c>
      <c r="F117">
        <f>CSV!$U117</f>
        <v>0</v>
      </c>
      <c r="G117">
        <f>CSV!$V117</f>
        <v>0</v>
      </c>
      <c r="H117">
        <f>CSV!$W117</f>
        <v>0</v>
      </c>
    </row>
    <row r="118" spans="1:8">
      <c r="A118" s="9">
        <f>CSV!$A118</f>
        <v>0</v>
      </c>
      <c r="B118">
        <f>COUNTIF(CSV!$A$2:'CSV'!A118,CSV!A118)</f>
        <v>0</v>
      </c>
      <c r="C118" t="str">
        <f t="shared" ref="C118:C136" si="3">A118 &amp; "-" &amp; B118</f>
        <v>0-0</v>
      </c>
      <c r="D118">
        <f>CSV!$S118</f>
        <v>0</v>
      </c>
      <c r="E118" s="5" t="str">
        <f>IF(CSV!$T118&lt;&gt;"",CSV!$T118,"")</f>
        <v/>
      </c>
      <c r="F118">
        <f>CSV!$U118</f>
        <v>0</v>
      </c>
      <c r="G118">
        <f>CSV!$V118</f>
        <v>0</v>
      </c>
      <c r="H118">
        <f>CSV!$W118</f>
        <v>0</v>
      </c>
    </row>
    <row r="119" spans="1:8">
      <c r="A119" s="9">
        <f>CSV!$A119</f>
        <v>0</v>
      </c>
      <c r="B119">
        <f>COUNTIF(CSV!$A$2:'CSV'!A119,CSV!A119)</f>
        <v>0</v>
      </c>
      <c r="C119" t="str">
        <f t="shared" si="3"/>
        <v>0-0</v>
      </c>
      <c r="D119">
        <f>CSV!$S119</f>
        <v>0</v>
      </c>
      <c r="E119" s="5" t="str">
        <f>IF(CSV!$T119&lt;&gt;"",CSV!$T119,"")</f>
        <v/>
      </c>
      <c r="F119">
        <f>CSV!$U119</f>
        <v>0</v>
      </c>
      <c r="G119">
        <f>CSV!$V119</f>
        <v>0</v>
      </c>
      <c r="H119">
        <f>CSV!$W119</f>
        <v>0</v>
      </c>
    </row>
    <row r="120" spans="1:8">
      <c r="A120" s="9">
        <f>CSV!$A120</f>
        <v>0</v>
      </c>
      <c r="B120">
        <f>COUNTIF(CSV!$A$2:'CSV'!A120,CSV!A120)</f>
        <v>0</v>
      </c>
      <c r="C120" t="str">
        <f t="shared" si="3"/>
        <v>0-0</v>
      </c>
      <c r="D120">
        <f>CSV!$S120</f>
        <v>0</v>
      </c>
      <c r="E120" s="5" t="str">
        <f>IF(CSV!$T120&lt;&gt;"",CSV!$T120,"")</f>
        <v/>
      </c>
      <c r="F120">
        <f>CSV!$U120</f>
        <v>0</v>
      </c>
      <c r="G120">
        <f>CSV!$V120</f>
        <v>0</v>
      </c>
      <c r="H120">
        <f>CSV!$W120</f>
        <v>0</v>
      </c>
    </row>
    <row r="121" spans="1:8">
      <c r="A121" s="9">
        <f>CSV!$A121</f>
        <v>0</v>
      </c>
      <c r="B121">
        <f>COUNTIF(CSV!$A$2:'CSV'!A121,CSV!A121)</f>
        <v>0</v>
      </c>
      <c r="C121" t="str">
        <f t="shared" si="3"/>
        <v>0-0</v>
      </c>
      <c r="D121">
        <f>CSV!$S121</f>
        <v>0</v>
      </c>
      <c r="E121" s="5" t="str">
        <f>IF(CSV!$T121&lt;&gt;"",CSV!$T121,"")</f>
        <v/>
      </c>
      <c r="F121">
        <f>CSV!$U121</f>
        <v>0</v>
      </c>
      <c r="G121">
        <f>CSV!$V121</f>
        <v>0</v>
      </c>
      <c r="H121">
        <f>CSV!$W121</f>
        <v>0</v>
      </c>
    </row>
    <row r="122" spans="1:8">
      <c r="A122" s="9">
        <f>CSV!$A122</f>
        <v>0</v>
      </c>
      <c r="B122">
        <f>COUNTIF(CSV!$A$2:'CSV'!A122,CSV!A122)</f>
        <v>0</v>
      </c>
      <c r="C122" t="str">
        <f t="shared" si="3"/>
        <v>0-0</v>
      </c>
      <c r="D122">
        <f>CSV!$S122</f>
        <v>0</v>
      </c>
      <c r="E122" s="5" t="str">
        <f>IF(CSV!$T122&lt;&gt;"",CSV!$T122,"")</f>
        <v/>
      </c>
      <c r="F122">
        <f>CSV!$U122</f>
        <v>0</v>
      </c>
      <c r="G122">
        <f>CSV!$V122</f>
        <v>0</v>
      </c>
      <c r="H122">
        <f>CSV!$W122</f>
        <v>0</v>
      </c>
    </row>
    <row r="123" spans="1:8">
      <c r="A123" s="9">
        <f>CSV!$A123</f>
        <v>0</v>
      </c>
      <c r="B123">
        <f>COUNTIF(CSV!$A$2:'CSV'!A123,CSV!A123)</f>
        <v>0</v>
      </c>
      <c r="C123" t="str">
        <f t="shared" si="3"/>
        <v>0-0</v>
      </c>
      <c r="D123">
        <f>CSV!$S123</f>
        <v>0</v>
      </c>
      <c r="E123" s="5" t="str">
        <f>IF(CSV!$T123&lt;&gt;"",CSV!$T123,"")</f>
        <v/>
      </c>
      <c r="F123">
        <f>CSV!$U123</f>
        <v>0</v>
      </c>
      <c r="G123">
        <f>CSV!$V123</f>
        <v>0</v>
      </c>
      <c r="H123">
        <f>CSV!$W123</f>
        <v>0</v>
      </c>
    </row>
    <row r="124" spans="1:8">
      <c r="A124" s="9">
        <f>CSV!$A124</f>
        <v>0</v>
      </c>
      <c r="B124">
        <f>COUNTIF(CSV!$A$2:'CSV'!A124,CSV!A124)</f>
        <v>0</v>
      </c>
      <c r="C124" t="str">
        <f t="shared" si="3"/>
        <v>0-0</v>
      </c>
      <c r="D124">
        <f>CSV!$S124</f>
        <v>0</v>
      </c>
      <c r="E124" s="5" t="str">
        <f>IF(CSV!$T124&lt;&gt;"",CSV!$T124,"")</f>
        <v/>
      </c>
      <c r="F124">
        <f>CSV!$U124</f>
        <v>0</v>
      </c>
      <c r="G124">
        <f>CSV!$V124</f>
        <v>0</v>
      </c>
      <c r="H124">
        <f>CSV!$W124</f>
        <v>0</v>
      </c>
    </row>
    <row r="125" spans="1:8">
      <c r="A125" s="9">
        <f>CSV!$A125</f>
        <v>0</v>
      </c>
      <c r="B125">
        <f>COUNTIF(CSV!$A$2:'CSV'!A125,CSV!A125)</f>
        <v>0</v>
      </c>
      <c r="C125" t="str">
        <f t="shared" si="3"/>
        <v>0-0</v>
      </c>
      <c r="D125">
        <f>CSV!$S125</f>
        <v>0</v>
      </c>
      <c r="E125" s="5" t="str">
        <f>IF(CSV!$T125&lt;&gt;"",CSV!$T125,"")</f>
        <v/>
      </c>
      <c r="F125">
        <f>CSV!$U125</f>
        <v>0</v>
      </c>
      <c r="G125">
        <f>CSV!$V125</f>
        <v>0</v>
      </c>
      <c r="H125">
        <f>CSV!$W125</f>
        <v>0</v>
      </c>
    </row>
    <row r="126" spans="1:8">
      <c r="A126" s="9">
        <f>CSV!$A126</f>
        <v>0</v>
      </c>
      <c r="B126">
        <f>COUNTIF(CSV!$A$2:'CSV'!A126,CSV!A126)</f>
        <v>0</v>
      </c>
      <c r="C126" t="str">
        <f t="shared" si="3"/>
        <v>0-0</v>
      </c>
      <c r="D126">
        <f>CSV!$S126</f>
        <v>0</v>
      </c>
      <c r="E126" s="5" t="str">
        <f>IF(CSV!$T126&lt;&gt;"",CSV!$T126,"")</f>
        <v/>
      </c>
      <c r="F126">
        <f>CSV!$U126</f>
        <v>0</v>
      </c>
      <c r="G126">
        <f>CSV!$V126</f>
        <v>0</v>
      </c>
      <c r="H126">
        <f>CSV!$W126</f>
        <v>0</v>
      </c>
    </row>
    <row r="127" spans="1:8">
      <c r="A127" s="9">
        <f>CSV!$A127</f>
        <v>0</v>
      </c>
      <c r="B127">
        <f>COUNTIF(CSV!$A$2:'CSV'!A127,CSV!A127)</f>
        <v>0</v>
      </c>
      <c r="C127" t="str">
        <f t="shared" si="3"/>
        <v>0-0</v>
      </c>
      <c r="D127">
        <f>CSV!$S127</f>
        <v>0</v>
      </c>
      <c r="E127" s="5" t="str">
        <f>IF(CSV!$T127&lt;&gt;"",CSV!$T127,"")</f>
        <v/>
      </c>
      <c r="F127">
        <f>CSV!$U127</f>
        <v>0</v>
      </c>
      <c r="G127">
        <f>CSV!$V127</f>
        <v>0</v>
      </c>
      <c r="H127">
        <f>CSV!$W127</f>
        <v>0</v>
      </c>
    </row>
    <row r="128" spans="1:8">
      <c r="A128" s="9">
        <f>CSV!$A128</f>
        <v>0</v>
      </c>
      <c r="B128">
        <f>COUNTIF(CSV!$A$2:'CSV'!A128,CSV!A128)</f>
        <v>0</v>
      </c>
      <c r="C128" t="str">
        <f t="shared" si="3"/>
        <v>0-0</v>
      </c>
      <c r="D128">
        <f>CSV!$S128</f>
        <v>0</v>
      </c>
      <c r="E128" s="5" t="str">
        <f>IF(CSV!$T128&lt;&gt;"",CSV!$T128,"")</f>
        <v/>
      </c>
      <c r="F128">
        <f>CSV!$U128</f>
        <v>0</v>
      </c>
      <c r="G128">
        <f>CSV!$V128</f>
        <v>0</v>
      </c>
      <c r="H128">
        <f>CSV!$W128</f>
        <v>0</v>
      </c>
    </row>
    <row r="129" spans="1:8">
      <c r="A129" s="9">
        <f>CSV!$A129</f>
        <v>0</v>
      </c>
      <c r="B129">
        <f>COUNTIF(CSV!$A$2:'CSV'!A129,CSV!A129)</f>
        <v>0</v>
      </c>
      <c r="C129" t="str">
        <f t="shared" si="3"/>
        <v>0-0</v>
      </c>
      <c r="D129">
        <f>CSV!$S129</f>
        <v>0</v>
      </c>
      <c r="E129" s="5" t="str">
        <f>IF(CSV!$T129&lt;&gt;"",CSV!$T129,"")</f>
        <v/>
      </c>
      <c r="F129">
        <f>CSV!$U129</f>
        <v>0</v>
      </c>
      <c r="G129">
        <f>CSV!$V129</f>
        <v>0</v>
      </c>
      <c r="H129">
        <f>CSV!$W129</f>
        <v>0</v>
      </c>
    </row>
    <row r="130" spans="1:8">
      <c r="A130" s="9">
        <f>CSV!$A130</f>
        <v>0</v>
      </c>
      <c r="B130">
        <f>COUNTIF(CSV!$A$2:'CSV'!A130,CSV!A130)</f>
        <v>0</v>
      </c>
      <c r="C130" t="str">
        <f t="shared" si="3"/>
        <v>0-0</v>
      </c>
      <c r="D130">
        <f>CSV!$S130</f>
        <v>0</v>
      </c>
      <c r="E130" s="5" t="str">
        <f>IF(CSV!$T130&lt;&gt;"",CSV!$T130,"")</f>
        <v/>
      </c>
      <c r="F130">
        <f>CSV!$U130</f>
        <v>0</v>
      </c>
      <c r="G130">
        <f>CSV!$V130</f>
        <v>0</v>
      </c>
      <c r="H130">
        <f>CSV!$W130</f>
        <v>0</v>
      </c>
    </row>
    <row r="131" spans="1:8">
      <c r="A131" s="9">
        <f>CSV!$A131</f>
        <v>0</v>
      </c>
      <c r="B131">
        <f>COUNTIF(CSV!$A$2:'CSV'!A131,CSV!A131)</f>
        <v>0</v>
      </c>
      <c r="C131" t="str">
        <f t="shared" si="3"/>
        <v>0-0</v>
      </c>
      <c r="D131">
        <f>CSV!$S131</f>
        <v>0</v>
      </c>
      <c r="E131" s="5" t="str">
        <f>IF(CSV!$T131&lt;&gt;"",CSV!$T131,"")</f>
        <v/>
      </c>
      <c r="F131">
        <f>CSV!$U131</f>
        <v>0</v>
      </c>
      <c r="G131">
        <f>CSV!$V131</f>
        <v>0</v>
      </c>
      <c r="H131">
        <f>CSV!$W131</f>
        <v>0</v>
      </c>
    </row>
    <row r="132" spans="1:8">
      <c r="A132" s="9">
        <f>CSV!$A132</f>
        <v>0</v>
      </c>
      <c r="B132">
        <f>COUNTIF(CSV!$A$2:'CSV'!A132,CSV!A132)</f>
        <v>0</v>
      </c>
      <c r="C132" t="str">
        <f t="shared" si="3"/>
        <v>0-0</v>
      </c>
      <c r="D132">
        <f>CSV!$S132</f>
        <v>0</v>
      </c>
      <c r="E132" s="5" t="str">
        <f>IF(CSV!$T132&lt;&gt;"",CSV!$T132,"")</f>
        <v/>
      </c>
      <c r="F132">
        <f>CSV!$U132</f>
        <v>0</v>
      </c>
      <c r="G132">
        <f>CSV!$V132</f>
        <v>0</v>
      </c>
      <c r="H132">
        <f>CSV!$W132</f>
        <v>0</v>
      </c>
    </row>
    <row r="133" spans="1:8">
      <c r="A133" s="9">
        <f>CSV!$A133</f>
        <v>0</v>
      </c>
      <c r="B133">
        <f>COUNTIF(CSV!$A$2:'CSV'!A133,CSV!A133)</f>
        <v>0</v>
      </c>
      <c r="C133" t="str">
        <f t="shared" si="3"/>
        <v>0-0</v>
      </c>
      <c r="D133">
        <f>CSV!$S133</f>
        <v>0</v>
      </c>
      <c r="E133" s="5" t="str">
        <f>IF(CSV!$T133&lt;&gt;"",CSV!$T133,"")</f>
        <v/>
      </c>
      <c r="F133">
        <f>CSV!$U133</f>
        <v>0</v>
      </c>
      <c r="G133">
        <f>CSV!$V133</f>
        <v>0</v>
      </c>
      <c r="H133">
        <f>CSV!$W133</f>
        <v>0</v>
      </c>
    </row>
    <row r="134" spans="1:8">
      <c r="A134" s="9">
        <f>CSV!$A134</f>
        <v>0</v>
      </c>
      <c r="B134">
        <f>COUNTIF(CSV!$A$2:'CSV'!A134,CSV!A134)</f>
        <v>0</v>
      </c>
      <c r="C134" t="str">
        <f t="shared" si="3"/>
        <v>0-0</v>
      </c>
      <c r="D134">
        <f>CSV!$S134</f>
        <v>0</v>
      </c>
      <c r="E134" s="5" t="str">
        <f>IF(CSV!$T134&lt;&gt;"",CSV!$T134,"")</f>
        <v/>
      </c>
      <c r="F134">
        <f>CSV!$U134</f>
        <v>0</v>
      </c>
      <c r="G134">
        <f>CSV!$V134</f>
        <v>0</v>
      </c>
      <c r="H134">
        <f>CSV!$W134</f>
        <v>0</v>
      </c>
    </row>
    <row r="135" spans="1:8">
      <c r="A135" s="9">
        <f>CSV!$A135</f>
        <v>0</v>
      </c>
      <c r="B135">
        <f>COUNTIF(CSV!$A$2:'CSV'!A135,CSV!A135)</f>
        <v>0</v>
      </c>
      <c r="C135" t="str">
        <f t="shared" si="3"/>
        <v>0-0</v>
      </c>
      <c r="D135">
        <f>CSV!$S135</f>
        <v>0</v>
      </c>
      <c r="E135" s="5" t="str">
        <f>IF(CSV!$T135&lt;&gt;"",CSV!$T135,"")</f>
        <v/>
      </c>
      <c r="F135">
        <f>CSV!$U135</f>
        <v>0</v>
      </c>
      <c r="G135">
        <f>CSV!$V135</f>
        <v>0</v>
      </c>
      <c r="H135">
        <f>CSV!$W135</f>
        <v>0</v>
      </c>
    </row>
    <row r="136" spans="1:8">
      <c r="A136" s="9">
        <f>CSV!$A136</f>
        <v>0</v>
      </c>
      <c r="B136">
        <f>COUNTIF(CSV!$A$2:'CSV'!A136,CSV!A136)</f>
        <v>0</v>
      </c>
      <c r="C136" t="str">
        <f t="shared" si="3"/>
        <v>0-0</v>
      </c>
      <c r="D136">
        <f>CSV!$S136</f>
        <v>0</v>
      </c>
      <c r="E136" s="5" t="str">
        <f>IF(CSV!$T136&lt;&gt;"",CSV!$T136,"")</f>
        <v/>
      </c>
      <c r="F136">
        <f>CSV!$U136</f>
        <v>0</v>
      </c>
      <c r="G136">
        <f>CSV!$V136</f>
        <v>0</v>
      </c>
      <c r="H136">
        <f>CSV!$W136</f>
        <v>0</v>
      </c>
    </row>
  </sheetData>
  <phoneticPr fontId="1"/>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G27"/>
  <sheetViews>
    <sheetView tabSelected="1" workbookViewId="0">
      <selection activeCell="C20" sqref="C20"/>
    </sheetView>
  </sheetViews>
  <sheetFormatPr defaultRowHeight="19.5"/>
  <cols>
    <col min="1" max="1" width="5.08984375" customWidth="1"/>
    <col min="3" max="3" width="26.2265625" customWidth="1"/>
    <col min="7" max="7" width="26.81640625" customWidth="1"/>
  </cols>
  <sheetData>
    <row r="1" spans="1:7" ht="38.700000000000003">
      <c r="A1" s="28">
        <v>14</v>
      </c>
      <c r="B1" s="32" t="s">
        <v>90</v>
      </c>
      <c r="C1" s="32"/>
      <c r="D1" s="32"/>
      <c r="E1" s="32"/>
      <c r="F1" s="32"/>
      <c r="G1" s="32"/>
    </row>
    <row r="2" spans="1:7" ht="38.700000000000003">
      <c r="A2" s="11"/>
      <c r="B2" s="11"/>
      <c r="C2" s="11"/>
      <c r="D2" s="11"/>
      <c r="E2" s="27"/>
      <c r="F2" s="27" t="s">
        <v>96</v>
      </c>
      <c r="G2" s="31" t="str">
        <f>VLOOKUP($A$1,pivot!$A:$Y,2,0)</f>
        <v>C3C146FE4CD2D8D8</v>
      </c>
    </row>
    <row r="3" spans="1:7" ht="22.8">
      <c r="A3" s="10"/>
      <c r="B3" s="10"/>
      <c r="C3" s="10"/>
      <c r="D3" s="10"/>
      <c r="E3" s="33" t="s">
        <v>97</v>
      </c>
      <c r="F3" s="33"/>
      <c r="G3" s="12">
        <f>VLOOKUP($A$1,pivot!$A:$Y,5,0)</f>
        <v>42296.890972222223</v>
      </c>
    </row>
    <row r="4" spans="1:7" ht="29.1">
      <c r="A4" s="10"/>
      <c r="B4" s="34" t="str">
        <f>VLOOKUP($A$1,pivot!$A:$Y,6,0) &amp;VLOOKUP($A$1,pivot!$A:$Y,7,0)</f>
        <v>藤川真一</v>
      </c>
      <c r="C4" s="34"/>
      <c r="D4" s="10" t="s">
        <v>98</v>
      </c>
      <c r="E4" s="10"/>
      <c r="F4" s="10"/>
      <c r="G4" s="30" t="s">
        <v>104</v>
      </c>
    </row>
    <row r="5" spans="1:7" ht="22.8">
      <c r="A5" s="10"/>
      <c r="B5" s="10" t="s">
        <v>99</v>
      </c>
      <c r="C5" s="10" t="str">
        <f>VLOOKUP($A$1,pivot!$A:$Y,12,0)</f>
        <v>999-9999-9984</v>
      </c>
      <c r="D5" s="10"/>
      <c r="E5" s="10"/>
      <c r="F5" s="10"/>
      <c r="G5" s="10"/>
    </row>
    <row r="6" spans="1:7" ht="22.8">
      <c r="A6" s="10"/>
      <c r="B6" s="10" t="s">
        <v>100</v>
      </c>
      <c r="C6" s="10" t="str">
        <f>VLOOKUP($A$1,pivot!$A:$Y,13,0)</f>
        <v>hoge@hoge.com</v>
      </c>
      <c r="D6" s="10"/>
      <c r="E6" s="10"/>
      <c r="F6" s="10"/>
      <c r="G6" s="10"/>
    </row>
    <row r="7" spans="1:7" ht="22.8">
      <c r="A7" s="10"/>
      <c r="B7" s="29"/>
      <c r="C7" s="29"/>
      <c r="D7" s="10"/>
      <c r="E7" s="10"/>
      <c r="F7" s="10"/>
      <c r="G7" s="10"/>
    </row>
    <row r="8" spans="1:7" ht="22.8">
      <c r="A8" s="10"/>
      <c r="B8" s="10"/>
      <c r="C8" s="10"/>
      <c r="D8" s="10"/>
      <c r="E8" s="10"/>
      <c r="F8" s="10"/>
      <c r="G8" s="10"/>
    </row>
    <row r="9" spans="1:7" ht="45">
      <c r="A9" s="10"/>
      <c r="B9" s="35" t="s">
        <v>101</v>
      </c>
      <c r="C9" s="35"/>
      <c r="D9" s="35"/>
      <c r="E9" s="36">
        <f>G21+G22</f>
        <v>19240</v>
      </c>
      <c r="F9" s="36"/>
      <c r="G9" s="36"/>
    </row>
    <row r="10" spans="1:7" ht="37.5" customHeight="1">
      <c r="A10" s="10"/>
      <c r="B10" s="41" t="s">
        <v>102</v>
      </c>
      <c r="C10" s="42"/>
      <c r="D10" s="42"/>
      <c r="E10" s="42"/>
      <c r="F10" s="42"/>
      <c r="G10" s="42"/>
    </row>
    <row r="11" spans="1:7" ht="22.8">
      <c r="A11" s="10"/>
      <c r="B11" s="37" t="s">
        <v>91</v>
      </c>
      <c r="C11" s="37"/>
      <c r="D11" s="37"/>
      <c r="E11" s="13" t="s">
        <v>92</v>
      </c>
      <c r="F11" s="13" t="s">
        <v>93</v>
      </c>
      <c r="G11" s="13" t="s">
        <v>103</v>
      </c>
    </row>
    <row r="12" spans="1:7" ht="22.8">
      <c r="A12" s="10"/>
      <c r="B12" s="38" t="str">
        <f>IFERROR(VLOOKUP($G$2 &amp; "-" &amp; "1",items!C:AA,2,0),"")</f>
        <v>マイルドヤンキーケース</v>
      </c>
      <c r="C12" s="39"/>
      <c r="D12" s="39"/>
      <c r="E12" s="14">
        <f>IFERROR(VLOOKUP($G$2 &amp; "-" &amp; "1",items!C:AA,4,0),"")</f>
        <v>2380</v>
      </c>
      <c r="F12" s="15">
        <f>IFERROR(VLOOKUP($G$2 &amp; "-" &amp; "1",items!C:AA,5,0),"")</f>
        <v>1</v>
      </c>
      <c r="G12" s="16">
        <f t="shared" ref="G12:G19" si="0">IFERROR(IF(SUM(E12*F12),SUM(E12*F12),""),"")</f>
        <v>2380</v>
      </c>
    </row>
    <row r="13" spans="1:7" ht="22.8">
      <c r="A13" s="10"/>
      <c r="B13" s="40" t="str">
        <f>IFERROR(VLOOKUP($G$2 &amp; "-" &amp; "2",items!C:AA,2,0),"")</f>
        <v>The Modern Honolulu</v>
      </c>
      <c r="C13" s="40"/>
      <c r="D13" s="40"/>
      <c r="E13" s="17">
        <f>IFERROR(VLOOKUP($G$2 &amp; "-" &amp; "2",items!C:AA,4,0),"")</f>
        <v>2380</v>
      </c>
      <c r="F13" s="18">
        <f>IFERROR(VLOOKUP($G$2 &amp; "-" &amp; "2",items!C:AA,5,0),"")</f>
        <v>1</v>
      </c>
      <c r="G13" s="19">
        <f t="shared" si="0"/>
        <v>2380</v>
      </c>
    </row>
    <row r="14" spans="1:7" ht="22.8">
      <c r="A14" s="10"/>
      <c r="B14" s="39" t="str">
        <f>IFERROR(VLOOKUP($G$2 &amp; "-" &amp; "3",items!C:AA,2,0),"")</f>
        <v>マイルドヤンキーケース</v>
      </c>
      <c r="C14" s="39"/>
      <c r="D14" s="39"/>
      <c r="E14" s="14">
        <f>IFERROR(VLOOKUP($G$2 &amp; "-" &amp; "3",items!C:AA,4,0),"")</f>
        <v>2380</v>
      </c>
      <c r="F14" s="15">
        <f>IFERROR(VLOOKUP($G$2 &amp; "-" &amp; "3",items!C:AA,5,0),"")</f>
        <v>1</v>
      </c>
      <c r="G14" s="16">
        <f t="shared" si="0"/>
        <v>2380</v>
      </c>
    </row>
    <row r="15" spans="1:7" ht="22.8">
      <c r="A15" s="10"/>
      <c r="B15" s="40" t="str">
        <f>IFERROR(VLOOKUP($G$2 &amp; "-" &amp; "4",items!C:AA,2,0),"")</f>
        <v>The Modern Honolulu</v>
      </c>
      <c r="C15" s="40"/>
      <c r="D15" s="40"/>
      <c r="E15" s="17">
        <f>IFERROR(VLOOKUP($G$2 &amp; "-" &amp; "4",items!C:AA,4,0),"")</f>
        <v>2380</v>
      </c>
      <c r="F15" s="18">
        <f>IFERROR(VLOOKUP($G$2 &amp; "-" &amp; "4",items!C:AA,5,0),"")</f>
        <v>1</v>
      </c>
      <c r="G15" s="19">
        <f t="shared" si="0"/>
        <v>2380</v>
      </c>
    </row>
    <row r="16" spans="1:7" ht="22.8">
      <c r="A16" s="10"/>
      <c r="B16" s="39" t="str">
        <f>IFERROR(VLOOKUP($G$2 &amp; "-" &amp; "5",items!C:AA,2,0),"")</f>
        <v>マイルドヤンキーケース</v>
      </c>
      <c r="C16" s="39"/>
      <c r="D16" s="39"/>
      <c r="E16" s="14">
        <f>IFERROR(VLOOKUP($G$2 &amp; "-" &amp; "5",items!C:AA,4,0),"")</f>
        <v>2380</v>
      </c>
      <c r="F16" s="15">
        <f>IFERROR(VLOOKUP($G$2 &amp; "-" &amp; "5",items!C:AA,5,0),"")</f>
        <v>1</v>
      </c>
      <c r="G16" s="16">
        <f t="shared" si="0"/>
        <v>2380</v>
      </c>
    </row>
    <row r="17" spans="1:7" ht="22.8">
      <c r="A17" s="10"/>
      <c r="B17" s="40" t="str">
        <f>IFERROR(VLOOKUP($G$2 &amp; "-" &amp; "6",items!C:AA,2,0),"")</f>
        <v>The Modern Honolulu</v>
      </c>
      <c r="C17" s="40"/>
      <c r="D17" s="40"/>
      <c r="E17" s="17">
        <f>IFERROR(VLOOKUP($G$2 &amp; "-" &amp; "6",items!C:AA,4,0),"")</f>
        <v>2380</v>
      </c>
      <c r="F17" s="18">
        <f>IFERROR(VLOOKUP($G$2 &amp; "-" &amp; "6",items!C:AA,5,0),"")</f>
        <v>1</v>
      </c>
      <c r="G17" s="19">
        <f t="shared" si="0"/>
        <v>2380</v>
      </c>
    </row>
    <row r="18" spans="1:7" ht="22.8">
      <c r="A18" s="10"/>
      <c r="B18" s="38" t="str">
        <f>IFERROR(VLOOKUP($G$2&amp; "-" &amp; "7",items!C:AA,2,0),"")</f>
        <v>マイルドヤンキーケース</v>
      </c>
      <c r="C18" s="39"/>
      <c r="D18" s="39"/>
      <c r="E18" s="14">
        <f>IFERROR(VLOOKUP($G$2 &amp; "-" &amp; "7",items!C:AA,4,0),"")</f>
        <v>2380</v>
      </c>
      <c r="F18" s="15">
        <f>IFERROR(VLOOKUP($G$2 &amp; "-" &amp; "7",items!C:AA,5,0),"")</f>
        <v>1</v>
      </c>
      <c r="G18" s="16">
        <f t="shared" si="0"/>
        <v>2380</v>
      </c>
    </row>
    <row r="19" spans="1:7" ht="22.8">
      <c r="A19" s="10"/>
      <c r="B19" s="40" t="str">
        <f>IFERROR(VLOOKUP($G$2 &amp; "-" &amp; "8",items!C:AA,2,0),"")</f>
        <v>The Modern Honolulu</v>
      </c>
      <c r="C19" s="40"/>
      <c r="D19" s="40"/>
      <c r="E19" s="17">
        <f>IFERROR(VLOOKUP($G$2 &amp; "-" &amp; "8",items!C:AA,4,0),"")</f>
        <v>2380</v>
      </c>
      <c r="F19" s="18">
        <f>IFERROR(VLOOKUP($G$2 &amp; "-" &amp; "8",items!C:AA,5,0),"")</f>
        <v>1</v>
      </c>
      <c r="G19" s="19">
        <f t="shared" si="0"/>
        <v>2380</v>
      </c>
    </row>
    <row r="20" spans="1:7" ht="29.1">
      <c r="A20" s="10"/>
      <c r="B20" s="20"/>
      <c r="C20" s="20"/>
      <c r="D20" s="20"/>
      <c r="E20" s="20"/>
      <c r="F20" s="20"/>
      <c r="G20" s="20"/>
    </row>
    <row r="21" spans="1:7" ht="29.1">
      <c r="A21" s="10"/>
      <c r="B21" s="20"/>
      <c r="C21" s="20"/>
      <c r="D21" s="20"/>
      <c r="E21" s="21" t="s">
        <v>94</v>
      </c>
      <c r="F21" s="21"/>
      <c r="G21" s="22">
        <f>IF(SUM(G12:G19),SUM(G12:G19),"")</f>
        <v>19040</v>
      </c>
    </row>
    <row r="22" spans="1:7" ht="29.1">
      <c r="A22" s="10"/>
      <c r="B22" s="20"/>
      <c r="C22" s="23"/>
      <c r="D22" s="24"/>
      <c r="E22" s="25" t="s">
        <v>82</v>
      </c>
      <c r="F22" s="25"/>
      <c r="G22" s="26">
        <f>VLOOKUP($A$1,pivot!$A:$Y,4,0)</f>
        <v>200</v>
      </c>
    </row>
    <row r="23" spans="1:7" ht="41.4" customHeight="1">
      <c r="A23" s="10"/>
      <c r="B23" s="20"/>
      <c r="C23" s="20"/>
      <c r="D23" s="20"/>
      <c r="E23" s="21" t="s">
        <v>95</v>
      </c>
      <c r="F23" s="21"/>
      <c r="G23" s="22">
        <f>G21+G22</f>
        <v>19240</v>
      </c>
    </row>
    <row r="24" spans="1:7" ht="22.8">
      <c r="A24" s="10"/>
      <c r="B24" s="10"/>
      <c r="C24" s="10"/>
      <c r="D24" s="10"/>
      <c r="E24" s="10"/>
      <c r="F24" s="10"/>
      <c r="G24" s="10"/>
    </row>
    <row r="25" spans="1:7" ht="22.8">
      <c r="A25" s="10"/>
      <c r="B25" s="10"/>
      <c r="C25" s="10"/>
      <c r="D25" s="10"/>
      <c r="E25" s="10"/>
      <c r="F25" s="10"/>
      <c r="G25" s="10"/>
    </row>
    <row r="26" spans="1:7" ht="22.8">
      <c r="A26" s="10"/>
      <c r="B26" s="10"/>
      <c r="C26" s="10"/>
      <c r="D26" s="10"/>
      <c r="E26" s="10"/>
      <c r="G26" s="10"/>
    </row>
    <row r="27" spans="1:7" ht="22.8">
      <c r="G27" s="10"/>
    </row>
  </sheetData>
  <mergeCells count="15">
    <mergeCell ref="B18:D18"/>
    <mergeCell ref="B19:D19"/>
    <mergeCell ref="B15:D15"/>
    <mergeCell ref="B16:D16"/>
    <mergeCell ref="B14:D14"/>
    <mergeCell ref="B11:D11"/>
    <mergeCell ref="B12:D12"/>
    <mergeCell ref="B13:D13"/>
    <mergeCell ref="B10:G10"/>
    <mergeCell ref="B17:D17"/>
    <mergeCell ref="B1:G1"/>
    <mergeCell ref="E3:F3"/>
    <mergeCell ref="B4:C4"/>
    <mergeCell ref="B9:D9"/>
    <mergeCell ref="E9:G9"/>
  </mergeCells>
  <phoneticPr fontId="1"/>
  <pageMargins left="0.7" right="0.7" top="0.75" bottom="0.75" header="0.3" footer="0.3"/>
  <pageSetup paperSize="9" scale="72"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CSV</vt:lpstr>
      <vt:lpstr>pivot</vt:lpstr>
      <vt:lpstr>items</vt:lpstr>
      <vt:lpstr>output</vt:lpstr>
      <vt:lpstr>CSV!fshin2000_20160603__1__1</vt:lpstr>
      <vt:lpstr>output!Print_Area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ユーザー</dc:creator>
  <cp:lastModifiedBy>藤川真一</cp:lastModifiedBy>
  <cp:lastPrinted>2016-06-03T13:04:33Z</cp:lastPrinted>
  <dcterms:created xsi:type="dcterms:W3CDTF">2016-06-02T23:43:53Z</dcterms:created>
  <dcterms:modified xsi:type="dcterms:W3CDTF">2016-06-03T14:34:08Z</dcterms:modified>
</cp:coreProperties>
</file>